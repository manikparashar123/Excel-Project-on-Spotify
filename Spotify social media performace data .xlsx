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6A92FD-4883-44BF-98AA-7CE95A0F4894}" xr6:coauthVersionLast="47" xr6:coauthVersionMax="47" xr10:uidLastSave="{00000000-0000-0000-0000-000000000000}"/>
  <bookViews>
    <workbookView xWindow="-108" yWindow="-108" windowWidth="23256" windowHeight="12720" tabRatio="636" activeTab="1" xr2:uid="{00000000-000D-0000-FFFF-FFFF00000000}"/>
  </bookViews>
  <sheets>
    <sheet name="Posts" sheetId="1" r:id="rId1"/>
    <sheet name="Cleaned_Posts" sheetId="4" r:id="rId2"/>
    <sheet name="Posts_PivotTable" sheetId="6" r:id="rId3"/>
    <sheet name="Engagement Summary" sheetId="2" r:id="rId4"/>
    <sheet name="Eng_sum_pivotchart" sheetId="7" r:id="rId5"/>
    <sheet name="Campaign Metadata" sheetId="3" r:id="rId6"/>
    <sheet name="Analysis" sheetId="8" r:id="rId7"/>
  </sheets>
  <definedNames>
    <definedName name="_xlnm._FilterDatabase" localSheetId="3" hidden="1">'Engagement Summary'!$A$1:$I$201</definedName>
    <definedName name="ExternalData_1" localSheetId="1" hidden="1">Cleaned_Posts!$A$1:$M$484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85" i="4" l="1"/>
  <c r="G485" i="4"/>
  <c r="H485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K3" i="3"/>
  <c r="K4" i="3"/>
  <c r="L4" i="3" s="1"/>
  <c r="K5" i="3"/>
  <c r="L5" i="3" s="1"/>
  <c r="K2" i="3"/>
  <c r="F19" i="3"/>
  <c r="F23" i="3"/>
  <c r="F25" i="3"/>
  <c r="I159" i="2"/>
  <c r="H159" i="2"/>
  <c r="H158" i="2"/>
  <c r="H24" i="2"/>
  <c r="H150" i="2"/>
  <c r="H65" i="2"/>
  <c r="H188" i="2"/>
  <c r="H99" i="2"/>
  <c r="H74" i="2"/>
  <c r="H173" i="2"/>
  <c r="H156" i="2"/>
  <c r="H157" i="2"/>
  <c r="H75" i="2"/>
  <c r="H133" i="2"/>
  <c r="H144" i="2"/>
  <c r="H71" i="2"/>
  <c r="H97" i="2"/>
  <c r="H60" i="2"/>
  <c r="H114" i="2"/>
  <c r="H184" i="2"/>
  <c r="H45" i="2"/>
  <c r="H73" i="2"/>
  <c r="H23" i="2"/>
  <c r="H109" i="2"/>
  <c r="H168" i="2"/>
  <c r="H88" i="2"/>
  <c r="H39" i="2"/>
  <c r="H57" i="2"/>
  <c r="H110" i="2"/>
  <c r="H163" i="2"/>
  <c r="H8" i="2"/>
  <c r="H29" i="2"/>
  <c r="H42" i="2"/>
  <c r="H7" i="2"/>
  <c r="H125" i="2"/>
  <c r="H13" i="2"/>
  <c r="H201" i="2"/>
  <c r="H191" i="2"/>
  <c r="H83" i="2"/>
  <c r="H192" i="2"/>
  <c r="H167" i="2"/>
  <c r="H116" i="2"/>
  <c r="H95" i="2"/>
  <c r="H117" i="2"/>
  <c r="H34" i="2"/>
  <c r="H124" i="2"/>
  <c r="H138" i="2"/>
  <c r="H37" i="2"/>
  <c r="H145" i="2"/>
  <c r="H194" i="2"/>
  <c r="H164" i="2"/>
  <c r="H41" i="2"/>
  <c r="H68" i="2"/>
  <c r="H166" i="2"/>
  <c r="H55" i="2"/>
  <c r="H123" i="2"/>
  <c r="H51" i="2"/>
  <c r="H70" i="2"/>
  <c r="H93" i="2"/>
  <c r="H36" i="2"/>
  <c r="H128" i="2"/>
  <c r="H94" i="2"/>
  <c r="H146" i="2"/>
  <c r="H118" i="2"/>
  <c r="H181" i="2"/>
  <c r="H175" i="2"/>
  <c r="H171" i="2"/>
  <c r="H187" i="2"/>
  <c r="H50" i="2"/>
  <c r="H103" i="2"/>
  <c r="H172" i="2"/>
  <c r="H33" i="2"/>
  <c r="H122" i="2"/>
  <c r="H179" i="2"/>
  <c r="H32" i="2"/>
  <c r="H10" i="2"/>
  <c r="H16" i="2"/>
  <c r="H139" i="2"/>
  <c r="H31" i="2"/>
  <c r="H101" i="2"/>
  <c r="H160" i="2"/>
  <c r="H22" i="2"/>
  <c r="H183" i="2"/>
  <c r="H106" i="2"/>
  <c r="H130" i="2"/>
  <c r="H79" i="2"/>
  <c r="H121" i="2"/>
  <c r="H143" i="2"/>
  <c r="H85" i="2"/>
  <c r="H11" i="2"/>
  <c r="H161" i="2"/>
  <c r="H135" i="2"/>
  <c r="H47" i="2"/>
  <c r="H96" i="2"/>
  <c r="H86" i="2"/>
  <c r="H66" i="2"/>
  <c r="H35" i="2"/>
  <c r="H19" i="2"/>
  <c r="H12" i="2"/>
  <c r="H104" i="2"/>
  <c r="H9" i="2"/>
  <c r="H53" i="2"/>
  <c r="H178" i="2"/>
  <c r="H38" i="2"/>
  <c r="H3" i="2"/>
  <c r="H154" i="2"/>
  <c r="H18" i="2"/>
  <c r="H180" i="2"/>
  <c r="H165" i="2"/>
  <c r="H54" i="2"/>
  <c r="H14" i="2"/>
  <c r="H141" i="2"/>
  <c r="H153" i="2"/>
  <c r="H15" i="2"/>
  <c r="H105" i="2"/>
  <c r="H129" i="2"/>
  <c r="H91" i="2"/>
  <c r="H170" i="2"/>
  <c r="H176" i="2"/>
  <c r="H17" i="2"/>
  <c r="H155" i="2"/>
  <c r="H63" i="2"/>
  <c r="H182" i="2"/>
  <c r="H149" i="2"/>
  <c r="H30" i="2"/>
  <c r="H140" i="2"/>
  <c r="H20" i="2"/>
  <c r="H190" i="2"/>
  <c r="H27" i="2"/>
  <c r="H44" i="2"/>
  <c r="H89" i="2"/>
  <c r="H132" i="2"/>
  <c r="H127" i="2"/>
  <c r="H148" i="2"/>
  <c r="H152" i="2"/>
  <c r="H40" i="2"/>
  <c r="H196" i="2"/>
  <c r="H162" i="2"/>
  <c r="H198" i="2"/>
  <c r="H177" i="2"/>
  <c r="H43" i="2"/>
  <c r="H169" i="2"/>
  <c r="H62" i="2"/>
  <c r="H189" i="2"/>
  <c r="H52" i="2"/>
  <c r="H90" i="2"/>
  <c r="H5" i="2"/>
  <c r="H111" i="2"/>
  <c r="H78" i="2"/>
  <c r="H186" i="2"/>
  <c r="H131" i="2"/>
  <c r="H92" i="2"/>
  <c r="H199" i="2"/>
  <c r="H25" i="2"/>
  <c r="H142" i="2"/>
  <c r="H67" i="2"/>
  <c r="H112" i="2"/>
  <c r="H76" i="2"/>
  <c r="H61" i="2"/>
  <c r="H107" i="2"/>
  <c r="H82" i="2"/>
  <c r="H80" i="2"/>
  <c r="H102" i="2"/>
  <c r="H28" i="2"/>
  <c r="H136" i="2"/>
  <c r="H48" i="2"/>
  <c r="H185" i="2"/>
  <c r="H193" i="2"/>
  <c r="H46" i="2"/>
  <c r="H113" i="2"/>
  <c r="H100" i="2"/>
  <c r="H197" i="2"/>
  <c r="H77" i="2"/>
  <c r="H69" i="2"/>
  <c r="H21" i="2"/>
  <c r="H115" i="2"/>
  <c r="H58" i="2"/>
  <c r="H81" i="2"/>
  <c r="H72" i="2"/>
  <c r="H200" i="2"/>
  <c r="H64" i="2"/>
  <c r="H49" i="2"/>
  <c r="H147" i="2"/>
  <c r="H195" i="2"/>
  <c r="H174" i="2"/>
  <c r="H126" i="2"/>
  <c r="H4" i="2"/>
  <c r="H120" i="2"/>
  <c r="H98" i="2"/>
  <c r="H6" i="2"/>
  <c r="H108" i="2"/>
  <c r="H137" i="2"/>
  <c r="H119" i="2"/>
  <c r="H59" i="2"/>
  <c r="H151" i="2"/>
  <c r="H2" i="2"/>
  <c r="H87" i="2"/>
  <c r="H134" i="2"/>
  <c r="H84" i="2"/>
  <c r="H56" i="2"/>
  <c r="H26" i="2"/>
  <c r="L2" i="3"/>
  <c r="L3" i="3"/>
  <c r="I158" i="2"/>
  <c r="I24" i="2"/>
  <c r="I150" i="2"/>
  <c r="I65" i="2"/>
  <c r="I188" i="2"/>
  <c r="I99" i="2"/>
  <c r="I74" i="2"/>
  <c r="I173" i="2"/>
  <c r="I156" i="2"/>
  <c r="I157" i="2"/>
  <c r="I75" i="2"/>
  <c r="I133" i="2"/>
  <c r="I144" i="2"/>
  <c r="I71" i="2"/>
  <c r="I97" i="2"/>
  <c r="I60" i="2"/>
  <c r="I114" i="2"/>
  <c r="I184" i="2"/>
  <c r="I45" i="2"/>
  <c r="I73" i="2"/>
  <c r="I23" i="2"/>
  <c r="I109" i="2"/>
  <c r="I168" i="2"/>
  <c r="I88" i="2"/>
  <c r="I39" i="2"/>
  <c r="I57" i="2"/>
  <c r="I110" i="2"/>
  <c r="I163" i="2"/>
  <c r="I8" i="2"/>
  <c r="I29" i="2"/>
  <c r="I42" i="2"/>
  <c r="I7" i="2"/>
  <c r="I125" i="2"/>
  <c r="I13" i="2"/>
  <c r="I201" i="2"/>
  <c r="I191" i="2"/>
  <c r="I83" i="2"/>
  <c r="I192" i="2"/>
  <c r="I167" i="2"/>
  <c r="I116" i="2"/>
  <c r="I95" i="2"/>
  <c r="I117" i="2"/>
  <c r="I34" i="2"/>
  <c r="I124" i="2"/>
  <c r="I138" i="2"/>
  <c r="I37" i="2"/>
  <c r="I145" i="2"/>
  <c r="I194" i="2"/>
  <c r="I164" i="2"/>
  <c r="I41" i="2"/>
  <c r="I68" i="2"/>
  <c r="I166" i="2"/>
  <c r="I55" i="2"/>
  <c r="I123" i="2"/>
  <c r="I51" i="2"/>
  <c r="I70" i="2"/>
  <c r="I93" i="2"/>
  <c r="I36" i="2"/>
  <c r="I128" i="2"/>
  <c r="I94" i="2"/>
  <c r="I146" i="2"/>
  <c r="I118" i="2"/>
  <c r="I181" i="2"/>
  <c r="I175" i="2"/>
  <c r="I171" i="2"/>
  <c r="I187" i="2"/>
  <c r="I50" i="2"/>
  <c r="I103" i="2"/>
  <c r="I172" i="2"/>
  <c r="I33" i="2"/>
  <c r="I122" i="2"/>
  <c r="I179" i="2"/>
  <c r="I32" i="2"/>
  <c r="I10" i="2"/>
  <c r="I16" i="2"/>
  <c r="I139" i="2"/>
  <c r="I31" i="2"/>
  <c r="I101" i="2"/>
  <c r="I160" i="2"/>
  <c r="I22" i="2"/>
  <c r="I183" i="2"/>
  <c r="I106" i="2"/>
  <c r="I130" i="2"/>
  <c r="I79" i="2"/>
  <c r="I121" i="2"/>
  <c r="I143" i="2"/>
  <c r="I85" i="2"/>
  <c r="I11" i="2"/>
  <c r="I161" i="2"/>
  <c r="I135" i="2"/>
  <c r="I47" i="2"/>
  <c r="I96" i="2"/>
  <c r="I86" i="2"/>
  <c r="I66" i="2"/>
  <c r="I35" i="2"/>
  <c r="I19" i="2"/>
  <c r="I12" i="2"/>
  <c r="I104" i="2"/>
  <c r="I9" i="2"/>
  <c r="I53" i="2"/>
  <c r="I178" i="2"/>
  <c r="I38" i="2"/>
  <c r="I3" i="2"/>
  <c r="I154" i="2"/>
  <c r="I18" i="2"/>
  <c r="I180" i="2"/>
  <c r="I165" i="2"/>
  <c r="I54" i="2"/>
  <c r="I14" i="2"/>
  <c r="I141" i="2"/>
  <c r="I153" i="2"/>
  <c r="I15" i="2"/>
  <c r="I105" i="2"/>
  <c r="I129" i="2"/>
  <c r="I91" i="2"/>
  <c r="I170" i="2"/>
  <c r="I176" i="2"/>
  <c r="I17" i="2"/>
  <c r="I155" i="2"/>
  <c r="I63" i="2"/>
  <c r="I182" i="2"/>
  <c r="I149" i="2"/>
  <c r="I30" i="2"/>
  <c r="I140" i="2"/>
  <c r="I20" i="2"/>
  <c r="I190" i="2"/>
  <c r="I27" i="2"/>
  <c r="I44" i="2"/>
  <c r="I89" i="2"/>
  <c r="I132" i="2"/>
  <c r="I127" i="2"/>
  <c r="I148" i="2"/>
  <c r="I152" i="2"/>
  <c r="I40" i="2"/>
  <c r="I196" i="2"/>
  <c r="I162" i="2"/>
  <c r="I198" i="2"/>
  <c r="I177" i="2"/>
  <c r="I43" i="2"/>
  <c r="I169" i="2"/>
  <c r="I62" i="2"/>
  <c r="I189" i="2"/>
  <c r="I52" i="2"/>
  <c r="I90" i="2"/>
  <c r="I5" i="2"/>
  <c r="I111" i="2"/>
  <c r="I78" i="2"/>
  <c r="I186" i="2"/>
  <c r="I131" i="2"/>
  <c r="I92" i="2"/>
  <c r="I199" i="2"/>
  <c r="I25" i="2"/>
  <c r="I142" i="2"/>
  <c r="I67" i="2"/>
  <c r="I112" i="2"/>
  <c r="I76" i="2"/>
  <c r="I61" i="2"/>
  <c r="I107" i="2"/>
  <c r="I82" i="2"/>
  <c r="I80" i="2"/>
  <c r="I102" i="2"/>
  <c r="I28" i="2"/>
  <c r="I136" i="2"/>
  <c r="I48" i="2"/>
  <c r="I185" i="2"/>
  <c r="I193" i="2"/>
  <c r="I46" i="2"/>
  <c r="I113" i="2"/>
  <c r="I100" i="2"/>
  <c r="I197" i="2"/>
  <c r="I77" i="2"/>
  <c r="I69" i="2"/>
  <c r="I21" i="2"/>
  <c r="I115" i="2"/>
  <c r="I58" i="2"/>
  <c r="I81" i="2"/>
  <c r="I72" i="2"/>
  <c r="I200" i="2"/>
  <c r="I64" i="2"/>
  <c r="I49" i="2"/>
  <c r="I147" i="2"/>
  <c r="I195" i="2"/>
  <c r="I174" i="2"/>
  <c r="I126" i="2"/>
  <c r="I4" i="2"/>
  <c r="I120" i="2"/>
  <c r="I98" i="2"/>
  <c r="I6" i="2"/>
  <c r="I108" i="2"/>
  <c r="I137" i="2"/>
  <c r="I119" i="2"/>
  <c r="I59" i="2"/>
  <c r="I151" i="2"/>
  <c r="I2" i="2"/>
  <c r="I87" i="2"/>
  <c r="I134" i="2"/>
  <c r="I84" i="2"/>
  <c r="I56" i="2"/>
  <c r="I26" i="2"/>
  <c r="H202" i="2" l="1"/>
  <c r="F488" i="4"/>
  <c r="I202" i="2"/>
  <c r="J157" i="2"/>
  <c r="J66" i="2"/>
  <c r="J133" i="2"/>
  <c r="J47" i="2"/>
  <c r="J71" i="2"/>
  <c r="J73" i="2"/>
  <c r="J156" i="2"/>
  <c r="J45" i="2"/>
  <c r="J53" i="2"/>
  <c r="J141" i="2"/>
  <c r="J171" i="2"/>
  <c r="J114" i="2"/>
  <c r="J88" i="2"/>
  <c r="J54" i="2"/>
  <c r="J104" i="2"/>
  <c r="J121" i="2"/>
  <c r="J21" i="2"/>
  <c r="J85" i="2"/>
  <c r="J27" i="2"/>
  <c r="J166" i="2"/>
  <c r="J191" i="2"/>
  <c r="J91" i="2"/>
  <c r="J15" i="2"/>
  <c r="J96" i="2"/>
  <c r="J184" i="2"/>
  <c r="J145" i="2"/>
  <c r="J3" i="2"/>
  <c r="J163" i="2"/>
  <c r="J68" i="2"/>
  <c r="J79" i="2"/>
  <c r="J83" i="2"/>
  <c r="J32" i="2"/>
  <c r="J164" i="2"/>
  <c r="J180" i="2"/>
  <c r="J60" i="2"/>
  <c r="J144" i="2"/>
  <c r="J6" i="2"/>
  <c r="J98" i="2"/>
  <c r="J200" i="2"/>
  <c r="J34" i="2"/>
  <c r="J77" i="2"/>
  <c r="J42" i="2"/>
  <c r="J64" i="2"/>
  <c r="J140" i="2"/>
  <c r="J193" i="2"/>
  <c r="J9" i="2"/>
  <c r="J8" i="2"/>
  <c r="J185" i="2"/>
  <c r="J90" i="2"/>
  <c r="J22" i="2"/>
  <c r="J57" i="2"/>
  <c r="J112" i="2"/>
  <c r="J55" i="2"/>
  <c r="J11" i="2"/>
  <c r="J161" i="2"/>
  <c r="J37" i="2"/>
  <c r="J178" i="2"/>
  <c r="J17" i="2"/>
  <c r="J25" i="2"/>
  <c r="J175" i="2"/>
  <c r="J116" i="2"/>
  <c r="J13" i="2"/>
  <c r="J29" i="2"/>
  <c r="J36" i="2"/>
  <c r="J117" i="2"/>
  <c r="J105" i="2"/>
  <c r="J154" i="2"/>
  <c r="J110" i="2"/>
  <c r="J107" i="2"/>
  <c r="J59" i="2"/>
  <c r="J19" i="2"/>
  <c r="J126" i="2"/>
  <c r="J72" i="2"/>
  <c r="J165" i="2"/>
  <c r="J44" i="2"/>
  <c r="J176" i="2"/>
  <c r="J170" i="2"/>
  <c r="J26" i="2"/>
  <c r="J152" i="2"/>
  <c r="J135" i="2"/>
  <c r="J51" i="2"/>
  <c r="J174" i="2"/>
  <c r="J137" i="2"/>
  <c r="J187" i="2"/>
  <c r="J123" i="2"/>
  <c r="J124" i="2"/>
  <c r="J162" i="2"/>
  <c r="J102" i="2"/>
  <c r="J101" i="2"/>
  <c r="J106" i="2"/>
  <c r="J138" i="2"/>
  <c r="J62" i="2"/>
  <c r="J139" i="2"/>
  <c r="J131" i="2"/>
  <c r="J30" i="2"/>
  <c r="J153" i="2"/>
  <c r="J136" i="2"/>
  <c r="J78" i="2"/>
  <c r="J199" i="2"/>
  <c r="J40" i="2"/>
  <c r="J100" i="2"/>
  <c r="J56" i="2"/>
  <c r="J119" i="2"/>
  <c r="J195" i="2"/>
  <c r="J23" i="2"/>
  <c r="J89" i="2"/>
  <c r="J58" i="2"/>
  <c r="J201" i="2"/>
  <c r="J76" i="2"/>
  <c r="J95" i="2"/>
  <c r="J128" i="2"/>
  <c r="J20" i="2"/>
  <c r="J87" i="2"/>
  <c r="J12" i="2"/>
  <c r="J109" i="2"/>
  <c r="J183" i="2"/>
  <c r="J84" i="2"/>
  <c r="J172" i="2"/>
  <c r="J69" i="2"/>
  <c r="J2" i="2"/>
  <c r="J142" i="2"/>
  <c r="J169" i="2"/>
  <c r="J82" i="2"/>
  <c r="J52" i="2"/>
  <c r="J129" i="2"/>
  <c r="J148" i="2"/>
  <c r="J67" i="2"/>
  <c r="J127" i="2"/>
  <c r="J198" i="2"/>
  <c r="J132" i="2"/>
  <c r="J186" i="2"/>
  <c r="J5" i="2"/>
  <c r="J35" i="2"/>
  <c r="J147" i="2"/>
  <c r="J108" i="2"/>
  <c r="J143" i="2"/>
  <c r="J115" i="2"/>
  <c r="J92" i="2"/>
  <c r="J196" i="2"/>
  <c r="J181" i="2"/>
  <c r="J120" i="2"/>
  <c r="J81" i="2"/>
  <c r="J190" i="2"/>
  <c r="J167" i="2"/>
  <c r="L14" i="2"/>
  <c r="J50" i="2"/>
  <c r="J16" i="2"/>
  <c r="J43" i="2"/>
  <c r="J14" i="2"/>
  <c r="J134" i="2"/>
  <c r="J146" i="2"/>
  <c r="J39" i="2"/>
  <c r="J111" i="2"/>
  <c r="J179" i="2"/>
  <c r="J192" i="2"/>
  <c r="J155" i="2"/>
  <c r="J86" i="2"/>
  <c r="J122" i="2"/>
  <c r="J168" i="2"/>
  <c r="J4" i="2"/>
  <c r="J80" i="2"/>
  <c r="J31" i="2"/>
  <c r="J97" i="2"/>
  <c r="J49" i="2"/>
  <c r="J113" i="2"/>
  <c r="J182" i="2"/>
  <c r="J118" i="2"/>
  <c r="J151" i="2"/>
  <c r="J63" i="2"/>
  <c r="J194" i="2"/>
  <c r="J94" i="2"/>
  <c r="J46" i="2"/>
  <c r="J130" i="2"/>
  <c r="J18" i="2"/>
  <c r="J75" i="2"/>
  <c r="J33" i="2"/>
  <c r="J197" i="2"/>
  <c r="J10" i="2"/>
  <c r="J61" i="2"/>
  <c r="J149" i="2"/>
  <c r="J41" i="2"/>
  <c r="J189" i="2"/>
  <c r="J93" i="2"/>
  <c r="J125" i="2"/>
  <c r="J28" i="2"/>
  <c r="J38" i="2"/>
  <c r="J160" i="2"/>
  <c r="J103" i="2"/>
  <c r="J70" i="2"/>
  <c r="J7" i="2"/>
  <c r="J48" i="2"/>
  <c r="J1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E35693-A3C7-4DD8-916B-EAEF5AA9AF6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<sst xmlns="http://schemas.openxmlformats.org/spreadsheetml/2006/main" count="5342" uniqueCount="471">
  <si>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</si>
  <si>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</si>
  <si>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</si>
  <si>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</si>
  <si>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</si>
  <si>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</si>
  <si>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</si>
  <si>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</si>
  <si>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</si>
  <si>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</si>
  <si>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</si>
  <si>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</si>
  <si>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</si>
  <si>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</si>
  <si>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</si>
  <si>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</si>
  <si>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</si>
  <si>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</si>
  <si>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</si>
  <si>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</si>
  <si>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</si>
  <si>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</si>
  <si>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</si>
  <si>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</si>
  <si>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</si>
  <si>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</si>
  <si>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</si>
  <si>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</si>
  <si>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</si>
  <si>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</si>
  <si>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</si>
  <si>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</si>
  <si>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</si>
  <si>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</si>
  <si>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</si>
  <si>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</si>
  <si>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</si>
  <si>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</si>
  <si>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</si>
  <si>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</si>
  <si>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</si>
  <si>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</si>
  <si>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</si>
  <si>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</si>
  <si>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</si>
  <si>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</si>
  <si>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</si>
  <si>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</si>
  <si>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</si>
  <si>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</si>
  <si>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</si>
  <si>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</si>
  <si>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</si>
  <si>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</si>
  <si>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</si>
  <si>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</si>
  <si>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</si>
  <si>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</si>
  <si>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</si>
  <si>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</si>
  <si>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</si>
  <si>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</si>
  <si>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</si>
  <si>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</si>
  <si>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</si>
  <si>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</si>
  <si>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</si>
  <si>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</si>
  <si>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</si>
  <si>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</si>
  <si>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</si>
  <si>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</si>
  <si>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</si>
  <si>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</si>
  <si>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</si>
  <si>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</si>
  <si>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</si>
  <si>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</si>
  <si>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</si>
  <si>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</si>
  <si>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</si>
  <si>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</si>
  <si>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</si>
  <si>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</si>
  <si>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</si>
  <si>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</si>
  <si>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</si>
  <si>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</si>
  <si>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</si>
  <si>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</si>
  <si>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</si>
  <si>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</si>
  <si>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</si>
  <si>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</si>
  <si>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</si>
  <si>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</si>
  <si>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</si>
  <si>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</si>
  <si>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</si>
  <si>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</si>
  <si>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</si>
  <si>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</si>
  <si>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</si>
  <si>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</si>
  <si>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</si>
  <si>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</si>
  <si>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</si>
  <si>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</si>
  <si>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</si>
  <si>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</si>
  <si>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</si>
  <si>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</si>
  <si>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</si>
  <si>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</si>
  <si>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</si>
  <si>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</si>
  <si>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</si>
  <si>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</si>
  <si>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</si>
  <si>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</si>
  <si>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</si>
  <si>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</si>
  <si>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</si>
  <si>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</si>
  <si>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</si>
  <si>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</si>
  <si>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</si>
  <si>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</si>
  <si>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</si>
  <si>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</si>
  <si>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</si>
  <si>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</si>
  <si>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</si>
  <si>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</si>
  <si>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</si>
  <si>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</si>
  <si>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</si>
  <si>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</si>
  <si>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</si>
  <si>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</si>
  <si>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</si>
  <si>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</si>
  <si>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</si>
  <si>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</si>
  <si>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</si>
  <si>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</si>
  <si>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</si>
  <si>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</si>
  <si>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</si>
  <si>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</si>
  <si>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</si>
  <si>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</si>
  <si>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</si>
  <si>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</si>
  <si>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</si>
  <si>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</si>
  <si>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</si>
  <si>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</si>
  <si>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</si>
  <si>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</si>
  <si>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</si>
  <si>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</si>
  <si>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</si>
  <si>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</si>
  <si>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</si>
  <si>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</si>
  <si>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</si>
  <si>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</si>
  <si>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</si>
  <si>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</si>
  <si>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</si>
  <si>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</si>
  <si>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</si>
  <si>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</si>
  <si>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</si>
  <si>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</si>
  <si>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</si>
  <si>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</si>
  <si>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</si>
  <si>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</si>
  <si>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</si>
  <si>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</si>
  <si>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</si>
  <si>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</si>
  <si>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</si>
  <si>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</si>
  <si>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</si>
  <si>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</si>
  <si>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</si>
  <si>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</si>
  <si>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</si>
  <si>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</si>
  <si>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</si>
  <si>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</si>
  <si>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</si>
  <si>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</si>
  <si>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</si>
  <si>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</si>
  <si>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</si>
  <si>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</si>
  <si>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</si>
  <si>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</si>
  <si>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</si>
  <si>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</si>
  <si>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</si>
  <si>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</si>
  <si>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</si>
  <si>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</si>
  <si>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</si>
  <si>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</si>
  <si>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</si>
  <si>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</si>
  <si>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</si>
  <si>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</si>
  <si>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</si>
  <si>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</si>
  <si>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</si>
  <si>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</si>
  <si>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</si>
  <si>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</si>
  <si>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</si>
  <si>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</si>
  <si>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</si>
  <si>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</si>
  <si>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</si>
  <si>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</si>
  <si>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</si>
  <si>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</si>
  <si>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</si>
  <si>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</si>
  <si>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</si>
  <si>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</si>
  <si>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</si>
  <si>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</si>
  <si>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</si>
  <si>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</si>
  <si>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</si>
  <si>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</si>
  <si>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</si>
  <si>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</si>
  <si>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</si>
  <si>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</si>
  <si>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</si>
  <si>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</si>
  <si>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</si>
  <si>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</si>
  <si>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</si>
  <si>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</si>
  <si>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</si>
  <si>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</si>
  <si>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</si>
  <si>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</si>
  <si>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</si>
  <si>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</si>
  <si>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</si>
  <si>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</si>
  <si>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</si>
  <si>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</si>
  <si>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</si>
  <si>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</si>
  <si>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</si>
  <si>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</si>
  <si>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</si>
  <si>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</si>
  <si>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</si>
  <si>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</si>
  <si>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</si>
  <si>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</si>
  <si>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</si>
  <si>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</si>
  <si>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</si>
  <si>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</si>
  <si>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</si>
  <si>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</si>
  <si>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</si>
  <si>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</si>
  <si>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</si>
  <si>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</si>
  <si>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</si>
  <si>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</si>
  <si>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</si>
  <si>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</si>
  <si>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</si>
  <si>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</si>
  <si>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</si>
  <si>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</si>
  <si>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</si>
  <si>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</si>
  <si>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</si>
  <si>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</si>
  <si>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</si>
  <si>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</si>
  <si>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</si>
  <si>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</si>
  <si>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</si>
  <si>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</si>
  <si>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</si>
  <si>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</si>
  <si>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</si>
  <si>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</si>
  <si>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</si>
  <si>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</si>
  <si>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</si>
  <si>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</si>
  <si>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</si>
  <si>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</si>
  <si>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</si>
  <si>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</si>
  <si>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</si>
  <si>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</si>
  <si>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</si>
  <si>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</si>
  <si>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</si>
  <si>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</si>
  <si>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</si>
  <si>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</si>
  <si>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</si>
  <si>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</si>
  <si>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</si>
  <si>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</si>
  <si>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</si>
  <si>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</si>
  <si>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</si>
  <si>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</si>
  <si>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</si>
  <si>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</si>
  <si>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</si>
  <si>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</si>
  <si>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</si>
  <si>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</si>
  <si>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</si>
  <si>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</si>
  <si>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</si>
  <si>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</si>
  <si>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</si>
  <si>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</si>
  <si>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</si>
  <si>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</si>
  <si>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</si>
  <si>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</si>
  <si>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</si>
  <si>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</si>
  <si>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</si>
  <si>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</si>
  <si>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</si>
  <si>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</si>
  <si>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</si>
  <si>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</si>
  <si>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</si>
  <si>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</si>
  <si>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</si>
  <si>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</si>
  <si>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</si>
  <si>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</si>
  <si>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</si>
  <si>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</si>
  <si>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</si>
  <si>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</si>
  <si>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</si>
  <si>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</si>
  <si>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</si>
  <si>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</si>
  <si>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</si>
  <si>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</si>
  <si>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Youtube</t>
  </si>
  <si>
    <t>#MusicForEveryone</t>
  </si>
  <si>
    <t>#SpotifyWrapped</t>
  </si>
  <si>
    <t>Engagement Rate</t>
  </si>
  <si>
    <t>Sum of Likes</t>
  </si>
  <si>
    <t>Sum of Shares</t>
  </si>
  <si>
    <t>Sum of Comments</t>
  </si>
  <si>
    <t>Row Labels</t>
  </si>
  <si>
    <t>Grand Total</t>
  </si>
  <si>
    <t>Average of Clicks</t>
  </si>
  <si>
    <t>Average of Engagement Rate</t>
  </si>
  <si>
    <t>Click_Rank</t>
  </si>
  <si>
    <t>Hastage Used</t>
  </si>
  <si>
    <t>Follower Growth Rate</t>
  </si>
  <si>
    <t>2024</t>
  </si>
  <si>
    <t>2025</t>
  </si>
  <si>
    <t>Column Labels</t>
  </si>
  <si>
    <t>Sum of Follower Growth Rate</t>
  </si>
  <si>
    <t>Qtr2</t>
  </si>
  <si>
    <t>Qtr3</t>
  </si>
  <si>
    <t>Qtr4</t>
  </si>
  <si>
    <t>Count of Hashtags Used</t>
  </si>
  <si>
    <t>On YouTube: Focus on creating Reels.</t>
  </si>
  <si>
    <t>On Twitter: Focus on Text-based posts.</t>
  </si>
  <si>
    <t>On Instagram: Focus on Stories.</t>
  </si>
  <si>
    <t>Sum of Impressions</t>
  </si>
  <si>
    <t>Sum of Clicks</t>
  </si>
  <si>
    <t>Average of Impressions2</t>
  </si>
  <si>
    <t>Average of Clicks2</t>
  </si>
  <si>
    <t>Average of Likes2</t>
  </si>
  <si>
    <t>Average Engagement Rate</t>
  </si>
  <si>
    <t>SummerBeats_During</t>
  </si>
  <si>
    <t>SummerBeats_Before</t>
  </si>
  <si>
    <t>Wrapped2024_During</t>
  </si>
  <si>
    <t>Wrapped2024_Before</t>
  </si>
  <si>
    <t>ChillVibes_During</t>
  </si>
  <si>
    <t>ChillVibes_Before</t>
  </si>
  <si>
    <t>IndieWave_During</t>
  </si>
  <si>
    <t>IndieWave_Before</t>
  </si>
  <si>
    <t>Your Engagement Uplift for the ChillVibes campain was 9%.</t>
  </si>
  <si>
    <t>Total Engagement</t>
  </si>
  <si>
    <t>Engagement Uplift
(During Rate- Before Rate)/Before Rate</t>
  </si>
  <si>
    <t>Engagement Uplift %
(During Rate- Before Rate)/Before Rate</t>
  </si>
  <si>
    <t>Net_Follower_Gain</t>
  </si>
  <si>
    <t>Net_Follower_gain</t>
  </si>
  <si>
    <t>Task 5,</t>
  </si>
  <si>
    <t>Evaluate Section:</t>
  </si>
  <si>
    <t>Task 6,</t>
  </si>
  <si>
    <t>The week with the highest net follower gain was:</t>
  </si>
  <si>
    <r>
      <t>Platform</t>
    </r>
    <r>
      <rPr>
        <sz val="11"/>
        <color theme="1"/>
        <rFont val="Calibri"/>
        <family val="2"/>
        <scheme val="minor"/>
      </rPr>
      <t>: Twitter</t>
    </r>
  </si>
  <si>
    <r>
      <t>Net Follower Gain</t>
    </r>
    <r>
      <rPr>
        <sz val="11"/>
        <color theme="1"/>
        <rFont val="Calibri"/>
        <family val="2"/>
        <scheme val="minor"/>
      </rPr>
      <t>: 1397</t>
    </r>
  </si>
  <si>
    <t>4-Week MA Follower Gain</t>
  </si>
  <si>
    <t>Sum of 4-Week MA Follower Gain</t>
  </si>
  <si>
    <t>Correlation measures how strongly two things are related. The result is a number between -1 and 1:</t>
  </si>
  <si>
    <r>
      <t>Close to 1:</t>
    </r>
    <r>
      <rPr>
        <sz val="11"/>
        <color theme="1"/>
        <rFont val="Calibri"/>
        <family val="2"/>
        <scheme val="minor"/>
      </rPr>
      <t xml:space="preserve"> A strong positive correlation (when ad spend goes up, follower growth also goes up).</t>
    </r>
  </si>
  <si>
    <r>
      <t xml:space="preserve">Close to 0: </t>
    </r>
    <r>
      <rPr>
        <sz val="11"/>
        <color theme="1"/>
        <rFont val="Calibri"/>
        <family val="2"/>
        <scheme val="minor"/>
      </rPr>
      <t>Little to no correlation (the two are not related).</t>
    </r>
  </si>
  <si>
    <t>By Using =CORREL Formula, we get</t>
  </si>
  <si>
    <r>
      <t xml:space="preserve">This means </t>
    </r>
    <r>
      <rPr>
        <b/>
        <sz val="11"/>
        <color theme="1"/>
        <rFont val="Calibri"/>
        <family val="2"/>
        <scheme val="minor"/>
      </rPr>
      <t>"Spending more money on ads is not a reliable strategy for gaining more followers."</t>
    </r>
  </si>
  <si>
    <r>
      <rPr>
        <b/>
        <sz val="11"/>
        <color theme="1"/>
        <rFont val="Calibri"/>
        <family val="2"/>
        <scheme val="minor"/>
      </rPr>
      <t>Close to -1:</t>
    </r>
    <r>
      <rPr>
        <sz val="11"/>
        <color theme="1"/>
        <rFont val="Calibri"/>
        <scheme val="minor"/>
      </rPr>
      <t xml:space="preserve"> A strong negative correlation (when ad spend goes up, follower growth goes down).  </t>
    </r>
  </si>
  <si>
    <r>
      <rPr>
        <b/>
        <sz val="11"/>
        <color theme="1"/>
        <rFont val="Calibri"/>
        <family val="2"/>
        <scheme val="minor"/>
      </rPr>
      <t>3rd Point</t>
    </r>
    <r>
      <rPr>
        <sz val="11"/>
        <color theme="1"/>
        <rFont val="Calibri"/>
        <family val="2"/>
        <scheme val="minor"/>
      </rPr>
      <t xml:space="preserve">, Correlation between Ad Spend vs. Follower Growth/App Downloads </t>
    </r>
  </si>
  <si>
    <t>Task 2,</t>
  </si>
  <si>
    <r>
      <t xml:space="preserve">Point 2nd, </t>
    </r>
    <r>
      <rPr>
        <sz val="11"/>
        <color theme="1"/>
        <rFont val="Calibri"/>
        <family val="2"/>
        <scheme val="minor"/>
      </rPr>
      <t xml:space="preserve">Identify Top 10 posts by engagement rate </t>
    </r>
  </si>
  <si>
    <t>Task 3,</t>
  </si>
  <si>
    <r>
      <rPr>
        <b/>
        <sz val="11"/>
        <color theme="1"/>
        <rFont val="Calibri"/>
        <family val="2"/>
        <scheme val="minor"/>
      </rPr>
      <t xml:space="preserve">Point 1st, </t>
    </r>
    <r>
      <rPr>
        <sz val="11"/>
        <color theme="1"/>
        <rFont val="Calibri"/>
        <family val="2"/>
        <scheme val="minor"/>
      </rPr>
      <t>Determine which platform yields highest engagement</t>
    </r>
  </si>
  <si>
    <r>
      <rPr>
        <b/>
        <sz val="11"/>
        <color theme="1"/>
        <rFont val="Calibri"/>
        <family val="2"/>
        <scheme val="minor"/>
      </rPr>
      <t xml:space="preserve">Point 3rd, Part 1, </t>
    </r>
    <r>
      <rPr>
        <sz val="11"/>
        <color theme="1"/>
        <rFont val="Calibri"/>
        <family val="2"/>
        <scheme val="minor"/>
      </rPr>
      <t>Total Likes, Shares, Comments by Content Type (e.g., Text, Story) and Platform</t>
    </r>
  </si>
  <si>
    <r>
      <rPr>
        <b/>
        <sz val="11"/>
        <color theme="1"/>
        <rFont val="Calibri"/>
        <family val="2"/>
        <scheme val="minor"/>
      </rPr>
      <t xml:space="preserve">Point 3, Part 2, </t>
    </r>
    <r>
      <rPr>
        <sz val="11"/>
        <color theme="1"/>
        <rFont val="Calibri"/>
        <family val="2"/>
        <scheme val="minor"/>
      </rPr>
      <t xml:space="preserve">Average Clicks per post by Hashtag </t>
    </r>
  </si>
  <si>
    <r>
      <t xml:space="preserve">"Based on the analysis of all posts, </t>
    </r>
    <r>
      <rPr>
        <b/>
        <sz val="11"/>
        <color theme="1"/>
        <rFont val="Calibri"/>
        <family val="2"/>
        <scheme val="minor"/>
      </rPr>
      <t>Twitter</t>
    </r>
    <r>
      <rPr>
        <sz val="11"/>
        <color theme="1"/>
        <rFont val="Calibri"/>
        <family val="2"/>
        <scheme val="minor"/>
      </rPr>
      <t xml:space="preserve"> is the platform that yields the highest user engagement. Therefore, it should be considered our primary channel for driving interactions."</t>
    </r>
  </si>
  <si>
    <r>
      <rPr>
        <b/>
        <sz val="11"/>
        <color theme="1"/>
        <rFont val="Calibri"/>
        <family val="2"/>
        <scheme val="minor"/>
      </rPr>
      <t xml:space="preserve">Point 4th, </t>
    </r>
    <r>
      <rPr>
        <sz val="11"/>
        <color theme="1"/>
        <rFont val="Calibri"/>
        <family val="2"/>
        <scheme val="minor"/>
      </rPr>
      <t xml:space="preserve">Highlight Top-performing hashtags using ranking formulas </t>
    </r>
    <r>
      <rPr>
        <b/>
        <sz val="11"/>
        <color theme="1"/>
        <rFont val="Calibri"/>
        <family val="2"/>
        <scheme val="minor"/>
      </rPr>
      <t xml:space="preserve">=RANK.EQ </t>
    </r>
    <r>
      <rPr>
        <sz val="11"/>
        <color theme="1"/>
        <rFont val="Calibri"/>
        <family val="2"/>
        <scheme val="minor"/>
      </rPr>
      <t>Formula</t>
    </r>
  </si>
  <si>
    <r>
      <rPr>
        <b/>
        <sz val="11"/>
        <color theme="1"/>
        <rFont val="Calibri"/>
        <family val="2"/>
        <scheme val="minor"/>
      </rPr>
      <t>Task 3, Point 2nd,</t>
    </r>
    <r>
      <rPr>
        <sz val="11"/>
        <color theme="1"/>
        <rFont val="Calibri"/>
        <family val="2"/>
        <scheme val="minor"/>
      </rPr>
      <t xml:space="preserve">To Calculate Follower Growth Rate by using the Forrmula : </t>
    </r>
    <r>
      <rPr>
        <b/>
        <sz val="11"/>
        <color theme="1"/>
        <rFont val="Calibri"/>
        <family val="2"/>
        <scheme val="minor"/>
      </rPr>
      <t>=([New_Followers] - [Unfollows]) / [Total_Followers]*100</t>
    </r>
  </si>
  <si>
    <r>
      <rPr>
        <b/>
        <sz val="11"/>
        <color theme="1"/>
        <rFont val="Calibri"/>
        <family val="2"/>
        <scheme val="minor"/>
      </rPr>
      <t>Task 3, Point 2nd,</t>
    </r>
    <r>
      <rPr>
        <sz val="11"/>
        <color theme="1"/>
        <rFont val="Calibri"/>
        <family val="2"/>
        <scheme val="minor"/>
      </rPr>
      <t xml:space="preserve"> To Calculate Net_Follower_gain by using the Formula : </t>
    </r>
    <r>
      <rPr>
        <b/>
        <sz val="11"/>
        <color theme="1"/>
        <rFont val="Calibri"/>
        <family val="2"/>
        <scheme val="minor"/>
      </rPr>
      <t>= ([New_Followers] - [Unfollows])</t>
    </r>
  </si>
  <si>
    <r>
      <rPr>
        <b/>
        <sz val="11"/>
        <color theme="1"/>
        <rFont val="Calibri"/>
        <family val="2"/>
        <scheme val="minor"/>
      </rPr>
      <t xml:space="preserve">Point 2, </t>
    </r>
    <r>
      <rPr>
        <sz val="11"/>
        <color theme="1"/>
        <rFont val="Calibri"/>
        <family val="2"/>
        <scheme val="minor"/>
      </rPr>
      <t>Compare weekly follower growth rates across platforms</t>
    </r>
  </si>
  <si>
    <t>Qtr1</t>
  </si>
  <si>
    <r>
      <rPr>
        <b/>
        <sz val="11"/>
        <color theme="1"/>
        <rFont val="Calibri"/>
        <family val="2"/>
        <scheme val="minor"/>
      </rPr>
      <t xml:space="preserve">Point 3, </t>
    </r>
    <r>
      <rPr>
        <sz val="11"/>
        <color theme="1"/>
        <rFont val="Calibri"/>
        <family val="2"/>
        <scheme val="minor"/>
      </rPr>
      <t xml:space="preserve">Visualize Ad Spend vs. Engagement using Scatter(X,Y) Chart </t>
    </r>
  </si>
  <si>
    <r>
      <rPr>
        <b/>
        <sz val="11"/>
        <color theme="1"/>
        <rFont val="Calibri"/>
        <family val="2"/>
        <scheme val="minor"/>
      </rPr>
      <t>Point 2nd,</t>
    </r>
    <r>
      <rPr>
        <sz val="11"/>
        <color theme="1"/>
        <rFont val="Calibri"/>
        <family val="2"/>
        <scheme val="minor"/>
      </rPr>
      <t xml:space="preserve"> Moving average chart to analyze follower trends</t>
    </r>
  </si>
  <si>
    <t>Sum of Engagement Rate</t>
  </si>
  <si>
    <t>Final Analysis Based on Correct Data</t>
  </si>
  <si>
    <t>2. Highest Net Growth Rate: Twitter at 1.78%.</t>
  </si>
  <si>
    <t>1. Highest Engagement Rate: Twitter at 22.6%.</t>
  </si>
  <si>
    <r>
      <t xml:space="preserve">This confirms that Twitter is the clear leader in both key areas. Therefore, the strongest possible recommendation is to focus and prioritize </t>
    </r>
    <r>
      <rPr>
        <b/>
        <sz val="11"/>
        <color theme="1"/>
        <rFont val="Calibri"/>
        <family val="2"/>
        <scheme val="minor"/>
      </rPr>
      <t>Twitter as your primary platform for both engagement and audience growth.</t>
    </r>
  </si>
  <si>
    <t>Justification</t>
  </si>
  <si>
    <t>The decision is straightforward because Twitter is the top performer across the two most important metrics for social media success:</t>
  </si>
  <si>
    <r>
      <t>1. Highest Engagement Rate (22.6%):</t>
    </r>
    <r>
      <rPr>
        <sz val="11"/>
        <color theme="1"/>
        <rFont val="Calibri"/>
        <family val="2"/>
        <scheme val="minor"/>
      </rPr>
      <t xml:space="preserve"> Twitter is your most effective platform for activating your current audience. Your content resonates best here, leading to more likes, shares, and comments per impression than any other channel.</t>
    </r>
  </si>
  <si>
    <r>
      <t>2. Highest Net Growth Rate (1.78%):</t>
    </r>
    <r>
      <rPr>
        <sz val="11"/>
        <color theme="1"/>
        <rFont val="Calibri"/>
        <family val="2"/>
        <scheme val="minor"/>
      </rPr>
      <t xml:space="preserve"> Twitter is also your most successful platform for attracting new followers. It is your best tool for expanding your reach and growing your audience base.</t>
    </r>
  </si>
  <si>
    <r>
      <rPr>
        <b/>
        <sz val="11"/>
        <color theme="1"/>
        <rFont val="Calibri"/>
        <family val="2"/>
        <scheme val="minor"/>
      </rPr>
      <t>Task 3, Point 4,</t>
    </r>
    <r>
      <rPr>
        <sz val="11"/>
        <color theme="1"/>
        <rFont val="Calibri"/>
        <scheme val="minor"/>
      </rPr>
      <t xml:space="preserve"> Recommend focusing on 1–2 platforms or continuing multi-platform justify with data</t>
    </r>
  </si>
  <si>
    <t>Task 4,</t>
  </si>
  <si>
    <r>
      <t xml:space="preserve">Point 1st, </t>
    </r>
    <r>
      <rPr>
        <sz val="11"/>
        <color theme="1"/>
        <rFont val="Calibri"/>
        <family val="2"/>
        <scheme val="minor"/>
      </rPr>
      <t xml:space="preserve">Identify: Most frequent hashtags and average engagement for each </t>
    </r>
  </si>
  <si>
    <r>
      <t xml:space="preserve">Point 2nd, </t>
    </r>
    <r>
      <rPr>
        <sz val="11"/>
        <color theme="1"/>
        <rFont val="Calibri"/>
        <family val="2"/>
        <scheme val="minor"/>
      </rPr>
      <t>Identify: Compare content types (Text, Story,Reel) performance across platforms</t>
    </r>
  </si>
  <si>
    <r>
      <rPr>
        <b/>
        <sz val="11"/>
        <color theme="1"/>
        <rFont val="Calibri"/>
        <family val="2"/>
        <scheme val="minor"/>
      </rPr>
      <t>Task 4, Point 3,</t>
    </r>
    <r>
      <rPr>
        <sz val="11"/>
        <color theme="1"/>
        <rFont val="Calibri"/>
        <scheme val="minor"/>
      </rPr>
      <t xml:space="preserve"> Identify: Recommend optimal content type-platform combinations </t>
    </r>
  </si>
  <si>
    <r>
      <rPr>
        <b/>
        <sz val="11"/>
        <color theme="1"/>
        <rFont val="Calibri"/>
        <family val="2"/>
        <scheme val="minor"/>
      </rPr>
      <t>Task 5,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Compute Section:</t>
    </r>
  </si>
  <si>
    <r>
      <rPr>
        <b/>
        <sz val="11"/>
        <color theme="1"/>
        <rFont val="Calibri"/>
        <family val="2"/>
        <scheme val="minor"/>
      </rPr>
      <t>1st Point,</t>
    </r>
    <r>
      <rPr>
        <sz val="11"/>
        <color theme="1"/>
        <rFont val="Calibri"/>
        <family val="2"/>
        <scheme val="minor"/>
      </rPr>
      <t xml:space="preserve"> Total &amp; average impressions, likes, clicks per campaign </t>
    </r>
  </si>
  <si>
    <r>
      <rPr>
        <b/>
        <sz val="11"/>
        <color theme="1"/>
        <rFont val="Calibri"/>
        <family val="2"/>
        <scheme val="minor"/>
      </rPr>
      <t>2nd Point,</t>
    </r>
    <r>
      <rPr>
        <sz val="11"/>
        <color theme="1"/>
        <rFont val="Calibri"/>
        <family val="2"/>
        <scheme val="minor"/>
      </rPr>
      <t xml:space="preserve"> Engagement uplift during vs. before campaign</t>
    </r>
  </si>
  <si>
    <t>Task 5, Compute Section:</t>
  </si>
  <si>
    <r>
      <rPr>
        <b/>
        <sz val="11"/>
        <color theme="1"/>
        <rFont val="Calibri"/>
        <family val="2"/>
        <scheme val="minor"/>
      </rPr>
      <t>1st Point,</t>
    </r>
    <r>
      <rPr>
        <sz val="11"/>
        <color theme="1"/>
        <rFont val="Calibri"/>
        <family val="2"/>
        <scheme val="minor"/>
      </rPr>
      <t xml:space="preserve"> Campaign with highest ROI (Engagement/Budget): </t>
    </r>
    <r>
      <rPr>
        <b/>
        <sz val="11"/>
        <color theme="1"/>
        <rFont val="Calibri"/>
        <family val="2"/>
        <scheme val="minor"/>
      </rPr>
      <t>ChillVibes campaign</t>
    </r>
  </si>
  <si>
    <r>
      <rPr>
        <b/>
        <sz val="11"/>
        <color theme="1"/>
        <rFont val="Calibri"/>
        <family val="2"/>
        <scheme val="minor"/>
      </rPr>
      <t>2nd Point,</t>
    </r>
    <r>
      <rPr>
        <sz val="11"/>
        <color theme="1"/>
        <rFont val="Calibri"/>
        <family val="2"/>
        <scheme val="minor"/>
      </rPr>
      <t xml:space="preserve"> Campaign with Strongest Follower or app download growth is </t>
    </r>
    <r>
      <rPr>
        <b/>
        <sz val="11"/>
        <color theme="1"/>
        <rFont val="Calibri"/>
        <family val="2"/>
        <scheme val="minor"/>
      </rPr>
      <t xml:space="preserve"> SummerBeats campaign</t>
    </r>
    <r>
      <rPr>
        <sz val="11"/>
        <color theme="1"/>
        <rFont val="Calibri"/>
        <family val="2"/>
        <scheme val="minor"/>
      </rPr>
      <t xml:space="preserve">. </t>
    </r>
  </si>
  <si>
    <r>
      <rPr>
        <b/>
        <sz val="11"/>
        <color theme="1"/>
        <rFont val="Calibri"/>
        <family val="2"/>
        <scheme val="minor"/>
      </rPr>
      <t>1st Point,</t>
    </r>
    <r>
      <rPr>
        <sz val="11"/>
        <color theme="1"/>
        <rFont val="Calibri"/>
        <family val="2"/>
        <scheme val="minor"/>
      </rPr>
      <t xml:space="preserve"> Identify week with highest net follower gain </t>
    </r>
  </si>
  <si>
    <r>
      <rPr>
        <b/>
        <sz val="11"/>
        <color theme="1"/>
        <rFont val="Calibri"/>
        <family val="2"/>
        <scheme val="minor"/>
      </rPr>
      <t>Task 1:</t>
    </r>
    <r>
      <rPr>
        <sz val="11"/>
        <color theme="1"/>
        <rFont val="Calibri"/>
        <scheme val="minor"/>
      </rPr>
      <t xml:space="preserve"> Data Preprocessing and Cleaning</t>
    </r>
  </si>
  <si>
    <r>
      <rPr>
        <b/>
        <sz val="11"/>
        <color theme="1"/>
        <rFont val="Calibri"/>
        <family val="2"/>
        <scheme val="minor"/>
      </rPr>
      <t xml:space="preserve">1st Point, </t>
    </r>
    <r>
      <rPr>
        <sz val="11"/>
        <color theme="1"/>
        <rFont val="Calibri"/>
        <family val="2"/>
        <scheme val="minor"/>
      </rPr>
      <t>Eliminate duplicate post entries</t>
    </r>
  </si>
  <si>
    <r>
      <rPr>
        <b/>
        <sz val="11"/>
        <color theme="1"/>
        <rFont val="Calibri"/>
        <family val="2"/>
        <scheme val="minor"/>
      </rPr>
      <t xml:space="preserve">2nd Point, </t>
    </r>
    <r>
      <rPr>
        <sz val="11"/>
        <color theme="1"/>
        <rFont val="Calibri"/>
        <family val="2"/>
        <scheme val="minor"/>
      </rPr>
      <t>Standardize date and platform formats</t>
    </r>
  </si>
  <si>
    <r>
      <rPr>
        <b/>
        <sz val="11"/>
        <color theme="1"/>
        <rFont val="Calibri"/>
        <family val="2"/>
        <scheme val="minor"/>
      </rPr>
      <t xml:space="preserve">4th Point, </t>
    </r>
    <r>
      <rPr>
        <sz val="11"/>
        <color theme="1"/>
        <rFont val="Calibri"/>
        <family val="2"/>
        <scheme val="minor"/>
      </rPr>
      <t>Split multi-hashtag columns into separate entries</t>
    </r>
  </si>
  <si>
    <r>
      <rPr>
        <b/>
        <sz val="11"/>
        <color theme="1"/>
        <rFont val="Calibri"/>
        <family val="2"/>
        <scheme val="minor"/>
      </rPr>
      <t xml:space="preserve">3rd Point, </t>
    </r>
    <r>
      <rPr>
        <sz val="11"/>
        <color theme="1"/>
        <rFont val="Calibri"/>
        <family val="2"/>
        <scheme val="minor"/>
      </rPr>
      <t>Ensure numeric columns (likes, impressions, ad spend, downloads) are correctly formatted</t>
    </r>
  </si>
  <si>
    <r>
      <t xml:space="preserve">Task 2, Point 1st, </t>
    </r>
    <r>
      <rPr>
        <sz val="11"/>
        <color theme="1"/>
        <rFont val="Calibri"/>
        <family val="2"/>
        <scheme val="minor"/>
      </rPr>
      <t>Calculate Engagement Rate per platform:</t>
    </r>
    <r>
      <rPr>
        <b/>
        <sz val="11"/>
        <color theme="1"/>
        <rFont val="Calibri"/>
        <family val="2"/>
        <scheme val="minor"/>
      </rPr>
      <t xml:space="preserve"> (Likes + Comments + Shares) / Impressions</t>
    </r>
  </si>
  <si>
    <r>
      <t xml:space="preserve">Your </t>
    </r>
    <r>
      <rPr>
        <b/>
        <sz val="11"/>
        <color theme="1"/>
        <rFont val="Calibri"/>
        <family val="2"/>
        <scheme val="minor"/>
      </rPr>
      <t>Engagement Uplift</t>
    </r>
    <r>
      <rPr>
        <sz val="11"/>
        <color theme="1"/>
        <rFont val="Calibri"/>
        <family val="2"/>
        <scheme val="minor"/>
      </rPr>
      <t xml:space="preserve"> for the SummerBeats campaign was -11%. This means your engagement rate was over 11% higher during the campaign than it was during a normal period.</t>
    </r>
  </si>
  <si>
    <t>Your Engagement Uplift for the Wrapped2024 campain was 0%.</t>
  </si>
  <si>
    <t>Your Engagement Uplift for the IndieWave campain was 11%.</t>
  </si>
  <si>
    <t>Total Engagement= likes+comments+shares</t>
  </si>
  <si>
    <t>ROI = Totam Engagement/ Total Budget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</si>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</sst>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4">
    <xf numFmtId="0" fontId="0" fillId="0" borderId="0" xfId="0"/>
    <xf numFmtId="0" fontId="9" fillId="0" borderId="0" xfId="0" applyFont="1"/>
    <xf numFmtId="0" fontId="9" fillId="0" borderId="0" xfId="0" applyFont="1" applyAlignment="1">
      <alignment horizontal="right"/>
    </xf>
    <xf numFmtId="164" fontId="9" fillId="0" borderId="0" xfId="0" applyNumberFormat="1" applyFont="1"/>
    <xf numFmtId="164" fontId="9" fillId="0" borderId="0" xfId="0" applyNumberFormat="1" applyFont="1" applyAlignment="1">
      <alignment horizontal="right"/>
    </xf>
    <xf numFmtId="164" fontId="0" fillId="0" borderId="0" xfId="0" applyNumberFormat="1"/>
    <xf numFmtId="3" fontId="9" fillId="0" borderId="0" xfId="0" applyNumberFormat="1" applyFont="1"/>
    <xf numFmtId="3" fontId="9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8" fillId="0" borderId="0" xfId="0" applyFont="1"/>
    <xf numFmtId="2" fontId="9" fillId="0" borderId="0" xfId="0" applyNumberFormat="1" applyFont="1"/>
    <xf numFmtId="0" fontId="7" fillId="0" borderId="0" xfId="0" applyFont="1"/>
    <xf numFmtId="0" fontId="6" fillId="0" borderId="0" xfId="0" applyFont="1"/>
    <xf numFmtId="14" fontId="11" fillId="0" borderId="1" xfId="0" applyNumberFormat="1" applyFont="1" applyBorder="1"/>
    <xf numFmtId="164" fontId="11" fillId="0" borderId="1" xfId="0" applyNumberFormat="1" applyFont="1" applyBorder="1"/>
    <xf numFmtId="164" fontId="6" fillId="0" borderId="1" xfId="0" applyNumberFormat="1" applyFont="1" applyBorder="1"/>
    <xf numFmtId="2" fontId="0" fillId="0" borderId="1" xfId="1" applyNumberFormat="1" applyFont="1" applyBorder="1"/>
    <xf numFmtId="0" fontId="5" fillId="0" borderId="0" xfId="0" applyFont="1"/>
    <xf numFmtId="2" fontId="13" fillId="0" borderId="0" xfId="0" applyNumberFormat="1" applyFont="1"/>
    <xf numFmtId="0" fontId="13" fillId="0" borderId="0" xfId="0" applyFont="1" applyAlignment="1">
      <alignment horizontal="left"/>
    </xf>
    <xf numFmtId="164" fontId="10" fillId="0" borderId="0" xfId="0" applyNumberFormat="1" applyFont="1" applyAlignment="1">
      <alignment horizontal="center" vertical="top"/>
    </xf>
    <xf numFmtId="14" fontId="11" fillId="0" borderId="0" xfId="0" applyNumberFormat="1" applyFont="1"/>
    <xf numFmtId="164" fontId="11" fillId="0" borderId="0" xfId="0" applyNumberFormat="1" applyFont="1"/>
    <xf numFmtId="0" fontId="10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1" fillId="0" borderId="0" xfId="0" applyFont="1"/>
    <xf numFmtId="2" fontId="6" fillId="0" borderId="0" xfId="0" applyNumberFormat="1" applyFont="1"/>
    <xf numFmtId="0" fontId="0" fillId="0" borderId="0" xfId="0" applyAlignment="1">
      <alignment horizontal="left" vertical="center" indent="1"/>
    </xf>
    <xf numFmtId="0" fontId="13" fillId="0" borderId="0" xfId="0" applyFont="1"/>
    <xf numFmtId="0" fontId="13" fillId="0" borderId="0" xfId="0" applyFont="1" applyAlignment="1">
      <alignment horizontal="left" vertical="center" indent="1"/>
    </xf>
    <xf numFmtId="2" fontId="9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 indent="1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4" fillId="0" borderId="0" xfId="0" applyFont="1"/>
    <xf numFmtId="2" fontId="14" fillId="2" borderId="0" xfId="0" applyNumberFormat="1" applyFont="1" applyFill="1"/>
    <xf numFmtId="0" fontId="13" fillId="0" borderId="0" xfId="0" applyFont="1" applyAlignment="1">
      <alignment horizontal="left" indent="1"/>
    </xf>
    <xf numFmtId="0" fontId="14" fillId="3" borderId="0" xfId="0" applyFont="1" applyFill="1"/>
    <xf numFmtId="0" fontId="1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6" fillId="0" borderId="4" xfId="0" applyFont="1" applyBorder="1"/>
    <xf numFmtId="9" fontId="0" fillId="0" borderId="5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6" fillId="0" borderId="8" xfId="0" applyFont="1" applyBorder="1"/>
    <xf numFmtId="14" fontId="0" fillId="0" borderId="3" xfId="0" applyNumberFormat="1" applyBorder="1"/>
    <xf numFmtId="2" fontId="0" fillId="0" borderId="3" xfId="1" applyNumberFormat="1" applyFont="1" applyBorder="1"/>
    <xf numFmtId="2" fontId="0" fillId="0" borderId="9" xfId="0" applyNumberForma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12" fillId="5" borderId="7" xfId="0" applyFont="1" applyFill="1" applyBorder="1" applyAlignment="1">
      <alignment horizontal="center" vertical="top" wrapText="1"/>
    </xf>
    <xf numFmtId="164" fontId="10" fillId="5" borderId="2" xfId="0" applyNumberFormat="1" applyFont="1" applyFill="1" applyBorder="1" applyAlignment="1">
      <alignment horizontal="center" vertical="top"/>
    </xf>
    <xf numFmtId="0" fontId="12" fillId="5" borderId="2" xfId="0" applyFont="1" applyFill="1" applyBorder="1" applyAlignment="1">
      <alignment horizontal="center" vertical="top"/>
    </xf>
    <xf numFmtId="0" fontId="13" fillId="5" borderId="2" xfId="0" applyFont="1" applyFill="1" applyBorder="1" applyAlignment="1">
      <alignment wrapText="1"/>
    </xf>
    <xf numFmtId="0" fontId="13" fillId="5" borderId="6" xfId="0" applyFont="1" applyFill="1" applyBorder="1" applyAlignment="1">
      <alignment wrapText="1"/>
    </xf>
    <xf numFmtId="9" fontId="0" fillId="0" borderId="0" xfId="1" applyFont="1" applyBorder="1" applyAlignment="1">
      <alignment horizontal="center"/>
    </xf>
    <xf numFmtId="0" fontId="13" fillId="4" borderId="0" xfId="0" applyFont="1" applyFill="1" applyAlignment="1">
      <alignment wrapText="1"/>
    </xf>
    <xf numFmtId="0" fontId="0" fillId="0" borderId="1" xfId="0" applyBorder="1"/>
    <xf numFmtId="2" fontId="3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84">
    <dxf>
      <font>
        <color theme="2"/>
      </font>
      <fill>
        <patternFill>
          <bgColor rgb="FFFF0000"/>
        </patternFill>
      </fill>
    </dxf>
    <dxf>
      <font>
        <color theme="2"/>
      </font>
      <fill>
        <patternFill>
          <bgColor rgb="FF00B0F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2" tint="-0.499984740745262"/>
        </patternFill>
      </fill>
      <border>
        <vertical/>
        <horizontal/>
      </border>
    </dxf>
    <dxf>
      <font>
        <color theme="0"/>
      </font>
      <fill>
        <patternFill>
          <bgColor rgb="FFFF0000"/>
        </patternFill>
      </fill>
      <border>
        <vertical/>
        <horizontal/>
      </border>
    </dxf>
    <dxf>
      <numFmt numFmtId="2" formatCode="0.00"/>
    </dxf>
    <dxf>
      <font>
        <i val="0"/>
      </font>
    </dxf>
    <dxf>
      <font>
        <u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400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-14009]d\.m\.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/>
        <family val="2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[$-14009]dd/mm/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[$-14009]dd/mm/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[$-14009]dd/mm/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[$-14009]dd/mm/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B0F0"/>
        </patternFill>
      </fill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14009]dd/mm/yyyy;@"/>
    </dxf>
    <dxf>
      <numFmt numFmtId="164" formatCode="[$-14009]dd/mm/yyyy;@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[$-14009]dd/mm/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 .xlsx]Eng_sum_pivotchart!PivotTable8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Eng_sum_pivotchart!$H$3:$H$4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Eng_sum_pivotchart!$G$5:$G$13</c:f>
              <c:multiLvlStrCache>
                <c:ptCount val="6"/>
                <c:lvl>
                  <c:pt idx="0">
                    <c:v>Qtr2</c:v>
                  </c:pt>
                  <c:pt idx="1">
                    <c:v>Qtr3</c:v>
                  </c:pt>
                  <c:pt idx="2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</c:lvl>
              </c:multiLvlStrCache>
            </c:multiLvlStrRef>
          </c:cat>
          <c:val>
            <c:numRef>
              <c:f>Eng_sum_pivotchart!$H$5:$H$13</c:f>
              <c:numCache>
                <c:formatCode>0.00</c:formatCode>
                <c:ptCount val="6"/>
                <c:pt idx="0">
                  <c:v>3.3917459295241379</c:v>
                </c:pt>
                <c:pt idx="1">
                  <c:v>6.5010996220437667</c:v>
                </c:pt>
                <c:pt idx="2">
                  <c:v>5.2409110358803037</c:v>
                </c:pt>
                <c:pt idx="3">
                  <c:v>3.8357679058279568</c:v>
                </c:pt>
                <c:pt idx="4">
                  <c:v>4.5081048755252411</c:v>
                </c:pt>
                <c:pt idx="5">
                  <c:v>5.6714605522601858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10-4B32-B5D9-C4A5008A4F74}"/>
            </c:ext>
          </c:extLst>
        </c:ser>
        <c:ser>
          <c:idx val="1"/>
          <c:order val="1"/>
          <c:tx>
            <c:strRef>
              <c:f>Eng_sum_pivotchart!$I$3:$I$4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Eng_sum_pivotchart!$G$5:$G$13</c:f>
              <c:multiLvlStrCache>
                <c:ptCount val="6"/>
                <c:lvl>
                  <c:pt idx="0">
                    <c:v>Qtr2</c:v>
                  </c:pt>
                  <c:pt idx="1">
                    <c:v>Qtr3</c:v>
                  </c:pt>
                  <c:pt idx="2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</c:lvl>
              </c:multiLvlStrCache>
            </c:multiLvlStrRef>
          </c:cat>
          <c:val>
            <c:numRef>
              <c:f>Eng_sum_pivotchart!$I$5:$I$13</c:f>
              <c:numCache>
                <c:formatCode>0.00</c:formatCode>
                <c:ptCount val="6"/>
                <c:pt idx="0">
                  <c:v>2.2167209849478358</c:v>
                </c:pt>
                <c:pt idx="1">
                  <c:v>7.2180310222725712</c:v>
                </c:pt>
                <c:pt idx="2">
                  <c:v>5.2161682848134339</c:v>
                </c:pt>
                <c:pt idx="3">
                  <c:v>7.451470595568126</c:v>
                </c:pt>
                <c:pt idx="4">
                  <c:v>5.6425944715132328</c:v>
                </c:pt>
                <c:pt idx="5">
                  <c:v>3.7445220282735736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10-4B32-B5D9-C4A5008A4F74}"/>
            </c:ext>
          </c:extLst>
        </c:ser>
        <c:ser>
          <c:idx val="2"/>
          <c:order val="2"/>
          <c:tx>
            <c:strRef>
              <c:f>Eng_sum_pivotchart!$J$3:$J$4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Eng_sum_pivotchart!$G$5:$G$13</c:f>
              <c:multiLvlStrCache>
                <c:ptCount val="6"/>
                <c:lvl>
                  <c:pt idx="0">
                    <c:v>Qtr2</c:v>
                  </c:pt>
                  <c:pt idx="1">
                    <c:v>Qtr3</c:v>
                  </c:pt>
                  <c:pt idx="2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</c:lvl>
              </c:multiLvlStrCache>
            </c:multiLvlStrRef>
          </c:cat>
          <c:val>
            <c:numRef>
              <c:f>Eng_sum_pivotchart!$J$5:$J$13</c:f>
              <c:numCache>
                <c:formatCode>0.00</c:formatCode>
                <c:ptCount val="6"/>
                <c:pt idx="0">
                  <c:v>1.5084471432115336</c:v>
                </c:pt>
                <c:pt idx="1">
                  <c:v>4.7456720821756502</c:v>
                </c:pt>
                <c:pt idx="2">
                  <c:v>6.3372854083506809</c:v>
                </c:pt>
                <c:pt idx="3">
                  <c:v>3.6333698593714976</c:v>
                </c:pt>
                <c:pt idx="4">
                  <c:v>5.1830371181260615</c:v>
                </c:pt>
                <c:pt idx="5">
                  <c:v>4.6592893879846953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10-4B32-B5D9-C4A5008A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091968"/>
        <c:axId val="779642536"/>
      </c:lineChart>
      <c:catAx>
        <c:axId val="44809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42536"/>
        <c:crosses val="autoZero"/>
        <c:auto val="1"/>
        <c:lblAlgn val="ctr"/>
        <c:lblOffset val="100"/>
        <c:noMultiLvlLbl val="0"/>
      </c:catAx>
      <c:valAx>
        <c:axId val="77964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9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Ad Spend VS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Instagram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'Engagement Summary'!$G$2:$G$201</c:f>
              <c:numCache>
                <c:formatCode>General</c:formatCode>
                <c:ptCount val="200"/>
                <c:pt idx="0">
                  <c:v>5281</c:v>
                </c:pt>
                <c:pt idx="1">
                  <c:v>5291</c:v>
                </c:pt>
                <c:pt idx="2">
                  <c:v>5413</c:v>
                </c:pt>
                <c:pt idx="3">
                  <c:v>5495</c:v>
                </c:pt>
                <c:pt idx="4">
                  <c:v>5526</c:v>
                </c:pt>
                <c:pt idx="5">
                  <c:v>5624</c:v>
                </c:pt>
                <c:pt idx="6">
                  <c:v>5836</c:v>
                </c:pt>
                <c:pt idx="7">
                  <c:v>5900</c:v>
                </c:pt>
                <c:pt idx="8">
                  <c:v>5924</c:v>
                </c:pt>
                <c:pt idx="9">
                  <c:v>5960</c:v>
                </c:pt>
                <c:pt idx="10">
                  <c:v>6027</c:v>
                </c:pt>
                <c:pt idx="11">
                  <c:v>6031</c:v>
                </c:pt>
                <c:pt idx="12">
                  <c:v>6120</c:v>
                </c:pt>
                <c:pt idx="13">
                  <c:v>6532</c:v>
                </c:pt>
                <c:pt idx="14">
                  <c:v>6625</c:v>
                </c:pt>
                <c:pt idx="15">
                  <c:v>6772</c:v>
                </c:pt>
                <c:pt idx="16">
                  <c:v>6824</c:v>
                </c:pt>
                <c:pt idx="17">
                  <c:v>6868</c:v>
                </c:pt>
                <c:pt idx="18">
                  <c:v>7140</c:v>
                </c:pt>
                <c:pt idx="19">
                  <c:v>7245</c:v>
                </c:pt>
                <c:pt idx="20">
                  <c:v>7299</c:v>
                </c:pt>
                <c:pt idx="21">
                  <c:v>7797</c:v>
                </c:pt>
                <c:pt idx="22">
                  <c:v>7810</c:v>
                </c:pt>
                <c:pt idx="23">
                  <c:v>7859</c:v>
                </c:pt>
                <c:pt idx="24">
                  <c:v>7881</c:v>
                </c:pt>
                <c:pt idx="25">
                  <c:v>7975</c:v>
                </c:pt>
                <c:pt idx="26">
                  <c:v>8182</c:v>
                </c:pt>
                <c:pt idx="27">
                  <c:v>8274</c:v>
                </c:pt>
                <c:pt idx="28">
                  <c:v>8698</c:v>
                </c:pt>
                <c:pt idx="29">
                  <c:v>8760</c:v>
                </c:pt>
                <c:pt idx="30">
                  <c:v>8910</c:v>
                </c:pt>
                <c:pt idx="31">
                  <c:v>9092</c:v>
                </c:pt>
                <c:pt idx="32">
                  <c:v>9195</c:v>
                </c:pt>
                <c:pt idx="33">
                  <c:v>9247</c:v>
                </c:pt>
                <c:pt idx="34">
                  <c:v>9383</c:v>
                </c:pt>
                <c:pt idx="35">
                  <c:v>9567</c:v>
                </c:pt>
                <c:pt idx="36">
                  <c:v>9592</c:v>
                </c:pt>
                <c:pt idx="37">
                  <c:v>9847</c:v>
                </c:pt>
                <c:pt idx="38">
                  <c:v>10104</c:v>
                </c:pt>
                <c:pt idx="39">
                  <c:v>10253</c:v>
                </c:pt>
                <c:pt idx="40">
                  <c:v>10311</c:v>
                </c:pt>
                <c:pt idx="41">
                  <c:v>10343</c:v>
                </c:pt>
                <c:pt idx="42">
                  <c:v>10402</c:v>
                </c:pt>
                <c:pt idx="43">
                  <c:v>10495</c:v>
                </c:pt>
                <c:pt idx="44">
                  <c:v>10563</c:v>
                </c:pt>
                <c:pt idx="45">
                  <c:v>10563</c:v>
                </c:pt>
                <c:pt idx="46">
                  <c:v>10615</c:v>
                </c:pt>
                <c:pt idx="47">
                  <c:v>10681</c:v>
                </c:pt>
                <c:pt idx="48">
                  <c:v>10858</c:v>
                </c:pt>
                <c:pt idx="49">
                  <c:v>10881</c:v>
                </c:pt>
                <c:pt idx="50">
                  <c:v>11005</c:v>
                </c:pt>
                <c:pt idx="51">
                  <c:v>11181</c:v>
                </c:pt>
                <c:pt idx="52">
                  <c:v>11235</c:v>
                </c:pt>
                <c:pt idx="53">
                  <c:v>11335</c:v>
                </c:pt>
                <c:pt idx="54">
                  <c:v>11418</c:v>
                </c:pt>
                <c:pt idx="55">
                  <c:v>11421</c:v>
                </c:pt>
                <c:pt idx="56">
                  <c:v>11453</c:v>
                </c:pt>
                <c:pt idx="57">
                  <c:v>11625</c:v>
                </c:pt>
                <c:pt idx="58">
                  <c:v>11684</c:v>
                </c:pt>
                <c:pt idx="59">
                  <c:v>11826</c:v>
                </c:pt>
                <c:pt idx="60">
                  <c:v>11908</c:v>
                </c:pt>
                <c:pt idx="61">
                  <c:v>11911</c:v>
                </c:pt>
                <c:pt idx="62">
                  <c:v>11911</c:v>
                </c:pt>
                <c:pt idx="63">
                  <c:v>11966</c:v>
                </c:pt>
                <c:pt idx="64">
                  <c:v>11972</c:v>
                </c:pt>
                <c:pt idx="65">
                  <c:v>12031</c:v>
                </c:pt>
                <c:pt idx="66">
                  <c:v>12115</c:v>
                </c:pt>
                <c:pt idx="67">
                  <c:v>12170</c:v>
                </c:pt>
                <c:pt idx="68">
                  <c:v>12181</c:v>
                </c:pt>
                <c:pt idx="69">
                  <c:v>12277</c:v>
                </c:pt>
                <c:pt idx="70">
                  <c:v>12323</c:v>
                </c:pt>
                <c:pt idx="71">
                  <c:v>12390</c:v>
                </c:pt>
                <c:pt idx="72">
                  <c:v>12391</c:v>
                </c:pt>
                <c:pt idx="73">
                  <c:v>12399</c:v>
                </c:pt>
                <c:pt idx="74">
                  <c:v>12562</c:v>
                </c:pt>
                <c:pt idx="75">
                  <c:v>12767</c:v>
                </c:pt>
                <c:pt idx="76">
                  <c:v>12774</c:v>
                </c:pt>
                <c:pt idx="77">
                  <c:v>12840</c:v>
                </c:pt>
                <c:pt idx="78">
                  <c:v>12937</c:v>
                </c:pt>
                <c:pt idx="79">
                  <c:v>12985</c:v>
                </c:pt>
                <c:pt idx="80">
                  <c:v>13013</c:v>
                </c:pt>
                <c:pt idx="81">
                  <c:v>13051</c:v>
                </c:pt>
                <c:pt idx="82">
                  <c:v>13140</c:v>
                </c:pt>
                <c:pt idx="83">
                  <c:v>13301</c:v>
                </c:pt>
                <c:pt idx="84">
                  <c:v>13314</c:v>
                </c:pt>
                <c:pt idx="85">
                  <c:v>13424</c:v>
                </c:pt>
                <c:pt idx="86">
                  <c:v>13644</c:v>
                </c:pt>
                <c:pt idx="87">
                  <c:v>13740</c:v>
                </c:pt>
                <c:pt idx="88">
                  <c:v>13763</c:v>
                </c:pt>
                <c:pt idx="89">
                  <c:v>13883</c:v>
                </c:pt>
                <c:pt idx="90">
                  <c:v>14051</c:v>
                </c:pt>
                <c:pt idx="91">
                  <c:v>14178</c:v>
                </c:pt>
                <c:pt idx="92">
                  <c:v>14215</c:v>
                </c:pt>
                <c:pt idx="93">
                  <c:v>14217</c:v>
                </c:pt>
                <c:pt idx="94">
                  <c:v>14273</c:v>
                </c:pt>
                <c:pt idx="95">
                  <c:v>14412</c:v>
                </c:pt>
                <c:pt idx="96">
                  <c:v>14475</c:v>
                </c:pt>
                <c:pt idx="97">
                  <c:v>14477</c:v>
                </c:pt>
                <c:pt idx="98">
                  <c:v>14479</c:v>
                </c:pt>
                <c:pt idx="99">
                  <c:v>14496</c:v>
                </c:pt>
                <c:pt idx="100">
                  <c:v>14534</c:v>
                </c:pt>
                <c:pt idx="101">
                  <c:v>14563</c:v>
                </c:pt>
                <c:pt idx="102">
                  <c:v>14749</c:v>
                </c:pt>
                <c:pt idx="103">
                  <c:v>14975</c:v>
                </c:pt>
                <c:pt idx="104">
                  <c:v>15108</c:v>
                </c:pt>
                <c:pt idx="105">
                  <c:v>15128</c:v>
                </c:pt>
                <c:pt idx="106">
                  <c:v>15461</c:v>
                </c:pt>
                <c:pt idx="107">
                  <c:v>15595</c:v>
                </c:pt>
                <c:pt idx="108">
                  <c:v>15613</c:v>
                </c:pt>
                <c:pt idx="109">
                  <c:v>15655</c:v>
                </c:pt>
                <c:pt idx="110">
                  <c:v>15773</c:v>
                </c:pt>
                <c:pt idx="111">
                  <c:v>15915</c:v>
                </c:pt>
                <c:pt idx="112">
                  <c:v>15924</c:v>
                </c:pt>
                <c:pt idx="113">
                  <c:v>16377</c:v>
                </c:pt>
                <c:pt idx="114">
                  <c:v>16385</c:v>
                </c:pt>
                <c:pt idx="115">
                  <c:v>16875</c:v>
                </c:pt>
                <c:pt idx="116">
                  <c:v>16921</c:v>
                </c:pt>
                <c:pt idx="117">
                  <c:v>17103</c:v>
                </c:pt>
                <c:pt idx="118">
                  <c:v>17460</c:v>
                </c:pt>
                <c:pt idx="119">
                  <c:v>17574</c:v>
                </c:pt>
                <c:pt idx="120">
                  <c:v>17662</c:v>
                </c:pt>
                <c:pt idx="121">
                  <c:v>17729</c:v>
                </c:pt>
                <c:pt idx="122">
                  <c:v>18071</c:v>
                </c:pt>
                <c:pt idx="123">
                  <c:v>18267</c:v>
                </c:pt>
                <c:pt idx="124">
                  <c:v>18303</c:v>
                </c:pt>
                <c:pt idx="125">
                  <c:v>18442</c:v>
                </c:pt>
                <c:pt idx="126">
                  <c:v>18576</c:v>
                </c:pt>
                <c:pt idx="127">
                  <c:v>18654</c:v>
                </c:pt>
                <c:pt idx="128">
                  <c:v>18867</c:v>
                </c:pt>
                <c:pt idx="129">
                  <c:v>19000</c:v>
                </c:pt>
                <c:pt idx="130">
                  <c:v>19054</c:v>
                </c:pt>
                <c:pt idx="131">
                  <c:v>19328</c:v>
                </c:pt>
                <c:pt idx="132">
                  <c:v>19538</c:v>
                </c:pt>
                <c:pt idx="133">
                  <c:v>19949</c:v>
                </c:pt>
                <c:pt idx="134">
                  <c:v>20109</c:v>
                </c:pt>
                <c:pt idx="135">
                  <c:v>20162</c:v>
                </c:pt>
                <c:pt idx="136">
                  <c:v>20306</c:v>
                </c:pt>
                <c:pt idx="137">
                  <c:v>20438</c:v>
                </c:pt>
                <c:pt idx="138">
                  <c:v>20474</c:v>
                </c:pt>
                <c:pt idx="139">
                  <c:v>20572</c:v>
                </c:pt>
                <c:pt idx="140">
                  <c:v>20595</c:v>
                </c:pt>
                <c:pt idx="141">
                  <c:v>21079</c:v>
                </c:pt>
                <c:pt idx="142">
                  <c:v>21107</c:v>
                </c:pt>
                <c:pt idx="143">
                  <c:v>21134</c:v>
                </c:pt>
                <c:pt idx="144">
                  <c:v>21254</c:v>
                </c:pt>
                <c:pt idx="145">
                  <c:v>21464</c:v>
                </c:pt>
                <c:pt idx="146">
                  <c:v>21771</c:v>
                </c:pt>
                <c:pt idx="147">
                  <c:v>21900</c:v>
                </c:pt>
                <c:pt idx="148">
                  <c:v>22029</c:v>
                </c:pt>
                <c:pt idx="149">
                  <c:v>22103</c:v>
                </c:pt>
                <c:pt idx="150">
                  <c:v>22191</c:v>
                </c:pt>
                <c:pt idx="151">
                  <c:v>22234</c:v>
                </c:pt>
                <c:pt idx="152">
                  <c:v>22244</c:v>
                </c:pt>
                <c:pt idx="153">
                  <c:v>22428</c:v>
                </c:pt>
                <c:pt idx="154">
                  <c:v>22456</c:v>
                </c:pt>
                <c:pt idx="155">
                  <c:v>22619</c:v>
                </c:pt>
                <c:pt idx="156">
                  <c:v>22788</c:v>
                </c:pt>
                <c:pt idx="157">
                  <c:v>23125</c:v>
                </c:pt>
                <c:pt idx="158">
                  <c:v>23329</c:v>
                </c:pt>
                <c:pt idx="159">
                  <c:v>23486</c:v>
                </c:pt>
                <c:pt idx="160">
                  <c:v>23736</c:v>
                </c:pt>
                <c:pt idx="161">
                  <c:v>23900</c:v>
                </c:pt>
                <c:pt idx="162">
                  <c:v>23963</c:v>
                </c:pt>
                <c:pt idx="163">
                  <c:v>24112</c:v>
                </c:pt>
                <c:pt idx="164">
                  <c:v>24358</c:v>
                </c:pt>
                <c:pt idx="165">
                  <c:v>24548</c:v>
                </c:pt>
                <c:pt idx="166">
                  <c:v>24617</c:v>
                </c:pt>
                <c:pt idx="167">
                  <c:v>24827</c:v>
                </c:pt>
                <c:pt idx="168">
                  <c:v>24858</c:v>
                </c:pt>
                <c:pt idx="169">
                  <c:v>24943</c:v>
                </c:pt>
                <c:pt idx="170">
                  <c:v>25038</c:v>
                </c:pt>
                <c:pt idx="171">
                  <c:v>25040</c:v>
                </c:pt>
                <c:pt idx="172">
                  <c:v>25058</c:v>
                </c:pt>
                <c:pt idx="173">
                  <c:v>25130</c:v>
                </c:pt>
                <c:pt idx="174">
                  <c:v>25234</c:v>
                </c:pt>
                <c:pt idx="175">
                  <c:v>25259</c:v>
                </c:pt>
                <c:pt idx="176">
                  <c:v>25267</c:v>
                </c:pt>
                <c:pt idx="177">
                  <c:v>25347</c:v>
                </c:pt>
                <c:pt idx="178">
                  <c:v>25478</c:v>
                </c:pt>
                <c:pt idx="179">
                  <c:v>25537</c:v>
                </c:pt>
                <c:pt idx="180">
                  <c:v>25542</c:v>
                </c:pt>
                <c:pt idx="181">
                  <c:v>25703</c:v>
                </c:pt>
                <c:pt idx="182">
                  <c:v>25742</c:v>
                </c:pt>
                <c:pt idx="183">
                  <c:v>26024</c:v>
                </c:pt>
                <c:pt idx="184">
                  <c:v>26073</c:v>
                </c:pt>
                <c:pt idx="185">
                  <c:v>26273</c:v>
                </c:pt>
                <c:pt idx="186">
                  <c:v>26298</c:v>
                </c:pt>
                <c:pt idx="187">
                  <c:v>26333</c:v>
                </c:pt>
                <c:pt idx="188">
                  <c:v>26618</c:v>
                </c:pt>
                <c:pt idx="189">
                  <c:v>26624</c:v>
                </c:pt>
                <c:pt idx="190">
                  <c:v>26644</c:v>
                </c:pt>
                <c:pt idx="191">
                  <c:v>26730</c:v>
                </c:pt>
                <c:pt idx="192">
                  <c:v>26872</c:v>
                </c:pt>
                <c:pt idx="193">
                  <c:v>27126</c:v>
                </c:pt>
                <c:pt idx="194">
                  <c:v>27393</c:v>
                </c:pt>
                <c:pt idx="195">
                  <c:v>27575</c:v>
                </c:pt>
                <c:pt idx="196">
                  <c:v>27753</c:v>
                </c:pt>
                <c:pt idx="197">
                  <c:v>27782</c:v>
                </c:pt>
                <c:pt idx="198">
                  <c:v>27809</c:v>
                </c:pt>
                <c:pt idx="199">
                  <c:v>27829</c:v>
                </c:pt>
              </c:numCache>
            </c:numRef>
          </c:xVal>
          <c:yVal>
            <c:numRef>
              <c:f>'Engagement Summary'!$F$2:$F$201</c:f>
              <c:numCache>
                <c:formatCode>General</c:formatCode>
                <c:ptCount val="200"/>
                <c:pt idx="0">
                  <c:v>3.08</c:v>
                </c:pt>
                <c:pt idx="1">
                  <c:v>3.7</c:v>
                </c:pt>
                <c:pt idx="2">
                  <c:v>4.96</c:v>
                </c:pt>
                <c:pt idx="3">
                  <c:v>6.41</c:v>
                </c:pt>
                <c:pt idx="4">
                  <c:v>5.41</c:v>
                </c:pt>
                <c:pt idx="5">
                  <c:v>5.98</c:v>
                </c:pt>
                <c:pt idx="6">
                  <c:v>5.3</c:v>
                </c:pt>
                <c:pt idx="7">
                  <c:v>9.15</c:v>
                </c:pt>
                <c:pt idx="8">
                  <c:v>4.53</c:v>
                </c:pt>
                <c:pt idx="9">
                  <c:v>6.03</c:v>
                </c:pt>
                <c:pt idx="10">
                  <c:v>6.26</c:v>
                </c:pt>
                <c:pt idx="11">
                  <c:v>5.84</c:v>
                </c:pt>
                <c:pt idx="12">
                  <c:v>8.0299999999999994</c:v>
                </c:pt>
                <c:pt idx="13">
                  <c:v>7.04</c:v>
                </c:pt>
                <c:pt idx="14">
                  <c:v>9.7100000000000009</c:v>
                </c:pt>
                <c:pt idx="15">
                  <c:v>7.71</c:v>
                </c:pt>
                <c:pt idx="16">
                  <c:v>7.31</c:v>
                </c:pt>
                <c:pt idx="17">
                  <c:v>8.76</c:v>
                </c:pt>
                <c:pt idx="18">
                  <c:v>3.41</c:v>
                </c:pt>
                <c:pt idx="19">
                  <c:v>9.08</c:v>
                </c:pt>
                <c:pt idx="20">
                  <c:v>5.51</c:v>
                </c:pt>
                <c:pt idx="21">
                  <c:v>9.34</c:v>
                </c:pt>
                <c:pt idx="22">
                  <c:v>7.72</c:v>
                </c:pt>
                <c:pt idx="23">
                  <c:v>5.25</c:v>
                </c:pt>
                <c:pt idx="24">
                  <c:v>3.91</c:v>
                </c:pt>
                <c:pt idx="25">
                  <c:v>5.09</c:v>
                </c:pt>
                <c:pt idx="26">
                  <c:v>6.18</c:v>
                </c:pt>
                <c:pt idx="27">
                  <c:v>9.3800000000000008</c:v>
                </c:pt>
                <c:pt idx="28">
                  <c:v>9.58</c:v>
                </c:pt>
                <c:pt idx="29">
                  <c:v>8.83</c:v>
                </c:pt>
                <c:pt idx="30">
                  <c:v>6.36</c:v>
                </c:pt>
                <c:pt idx="31">
                  <c:v>7.56</c:v>
                </c:pt>
                <c:pt idx="32">
                  <c:v>6.03</c:v>
                </c:pt>
                <c:pt idx="33">
                  <c:v>6.06</c:v>
                </c:pt>
                <c:pt idx="34">
                  <c:v>8.14</c:v>
                </c:pt>
                <c:pt idx="35">
                  <c:v>8.76</c:v>
                </c:pt>
                <c:pt idx="36">
                  <c:v>9.82</c:v>
                </c:pt>
                <c:pt idx="37">
                  <c:v>3.87</c:v>
                </c:pt>
                <c:pt idx="38">
                  <c:v>6.13</c:v>
                </c:pt>
                <c:pt idx="39">
                  <c:v>5.57</c:v>
                </c:pt>
                <c:pt idx="40">
                  <c:v>7.49</c:v>
                </c:pt>
                <c:pt idx="41">
                  <c:v>7.42</c:v>
                </c:pt>
                <c:pt idx="42">
                  <c:v>3.39</c:v>
                </c:pt>
                <c:pt idx="43">
                  <c:v>8.42</c:v>
                </c:pt>
                <c:pt idx="44">
                  <c:v>5.63</c:v>
                </c:pt>
                <c:pt idx="45">
                  <c:v>4.79</c:v>
                </c:pt>
                <c:pt idx="46">
                  <c:v>5.3</c:v>
                </c:pt>
                <c:pt idx="47">
                  <c:v>7.79</c:v>
                </c:pt>
                <c:pt idx="48">
                  <c:v>8.7200000000000006</c:v>
                </c:pt>
                <c:pt idx="49">
                  <c:v>8.4</c:v>
                </c:pt>
                <c:pt idx="50">
                  <c:v>3.49</c:v>
                </c:pt>
                <c:pt idx="51">
                  <c:v>6.03</c:v>
                </c:pt>
                <c:pt idx="52">
                  <c:v>8.6300000000000008</c:v>
                </c:pt>
                <c:pt idx="53">
                  <c:v>3.45</c:v>
                </c:pt>
                <c:pt idx="54">
                  <c:v>5.12</c:v>
                </c:pt>
                <c:pt idx="55">
                  <c:v>3.55</c:v>
                </c:pt>
                <c:pt idx="56">
                  <c:v>8.7100000000000009</c:v>
                </c:pt>
                <c:pt idx="57">
                  <c:v>6.52</c:v>
                </c:pt>
                <c:pt idx="58">
                  <c:v>8.52</c:v>
                </c:pt>
                <c:pt idx="59">
                  <c:v>6.93</c:v>
                </c:pt>
                <c:pt idx="60">
                  <c:v>4.4000000000000004</c:v>
                </c:pt>
                <c:pt idx="61">
                  <c:v>7.89</c:v>
                </c:pt>
                <c:pt idx="62">
                  <c:v>4.25</c:v>
                </c:pt>
                <c:pt idx="63">
                  <c:v>9.4</c:v>
                </c:pt>
                <c:pt idx="64">
                  <c:v>7.79</c:v>
                </c:pt>
                <c:pt idx="65">
                  <c:v>7.44</c:v>
                </c:pt>
                <c:pt idx="66">
                  <c:v>9.58</c:v>
                </c:pt>
                <c:pt idx="67">
                  <c:v>9.93</c:v>
                </c:pt>
                <c:pt idx="68">
                  <c:v>6.23</c:v>
                </c:pt>
                <c:pt idx="69">
                  <c:v>4.33</c:v>
                </c:pt>
                <c:pt idx="70">
                  <c:v>6.69</c:v>
                </c:pt>
                <c:pt idx="71">
                  <c:v>6.31</c:v>
                </c:pt>
                <c:pt idx="72">
                  <c:v>5.29</c:v>
                </c:pt>
                <c:pt idx="73">
                  <c:v>7.11</c:v>
                </c:pt>
                <c:pt idx="74">
                  <c:v>9.99</c:v>
                </c:pt>
                <c:pt idx="75">
                  <c:v>9.98</c:v>
                </c:pt>
                <c:pt idx="76">
                  <c:v>8.66</c:v>
                </c:pt>
                <c:pt idx="77">
                  <c:v>9.17</c:v>
                </c:pt>
                <c:pt idx="78">
                  <c:v>5.17</c:v>
                </c:pt>
                <c:pt idx="79">
                  <c:v>7.98</c:v>
                </c:pt>
                <c:pt idx="80">
                  <c:v>5.22</c:v>
                </c:pt>
                <c:pt idx="81">
                  <c:v>7.17</c:v>
                </c:pt>
                <c:pt idx="82">
                  <c:v>3.65</c:v>
                </c:pt>
                <c:pt idx="83">
                  <c:v>8.89</c:v>
                </c:pt>
                <c:pt idx="84">
                  <c:v>9.0500000000000007</c:v>
                </c:pt>
                <c:pt idx="85">
                  <c:v>5.34</c:v>
                </c:pt>
                <c:pt idx="86">
                  <c:v>5.82</c:v>
                </c:pt>
                <c:pt idx="87">
                  <c:v>9.7100000000000009</c:v>
                </c:pt>
                <c:pt idx="88">
                  <c:v>9.18</c:v>
                </c:pt>
                <c:pt idx="89">
                  <c:v>4.12</c:v>
                </c:pt>
                <c:pt idx="90">
                  <c:v>7.95</c:v>
                </c:pt>
                <c:pt idx="91">
                  <c:v>9.58</c:v>
                </c:pt>
                <c:pt idx="92">
                  <c:v>8.19</c:v>
                </c:pt>
                <c:pt idx="93">
                  <c:v>6.05</c:v>
                </c:pt>
                <c:pt idx="94">
                  <c:v>4.07</c:v>
                </c:pt>
                <c:pt idx="95">
                  <c:v>8.5500000000000007</c:v>
                </c:pt>
                <c:pt idx="96">
                  <c:v>7.71</c:v>
                </c:pt>
                <c:pt idx="97">
                  <c:v>8.3000000000000007</c:v>
                </c:pt>
                <c:pt idx="98">
                  <c:v>5.28</c:v>
                </c:pt>
                <c:pt idx="99">
                  <c:v>7.97</c:v>
                </c:pt>
                <c:pt idx="100">
                  <c:v>5.17</c:v>
                </c:pt>
                <c:pt idx="101">
                  <c:v>4.0599999999999996</c:v>
                </c:pt>
                <c:pt idx="102">
                  <c:v>3.5</c:v>
                </c:pt>
                <c:pt idx="103">
                  <c:v>6.12</c:v>
                </c:pt>
                <c:pt idx="104">
                  <c:v>6.44</c:v>
                </c:pt>
                <c:pt idx="105">
                  <c:v>4.8600000000000003</c:v>
                </c:pt>
                <c:pt idx="106">
                  <c:v>9.3699999999999992</c:v>
                </c:pt>
                <c:pt idx="107">
                  <c:v>5.65</c:v>
                </c:pt>
                <c:pt idx="108">
                  <c:v>9.92</c:v>
                </c:pt>
                <c:pt idx="109">
                  <c:v>6.04</c:v>
                </c:pt>
                <c:pt idx="110">
                  <c:v>5.07</c:v>
                </c:pt>
                <c:pt idx="111">
                  <c:v>5.95</c:v>
                </c:pt>
                <c:pt idx="112">
                  <c:v>7.99</c:v>
                </c:pt>
                <c:pt idx="113">
                  <c:v>9.6199999999999992</c:v>
                </c:pt>
                <c:pt idx="114">
                  <c:v>7.51</c:v>
                </c:pt>
                <c:pt idx="115">
                  <c:v>7.83</c:v>
                </c:pt>
                <c:pt idx="116">
                  <c:v>4.4800000000000004</c:v>
                </c:pt>
                <c:pt idx="117">
                  <c:v>4.03</c:v>
                </c:pt>
                <c:pt idx="118">
                  <c:v>8.7200000000000006</c:v>
                </c:pt>
                <c:pt idx="119">
                  <c:v>4.53</c:v>
                </c:pt>
                <c:pt idx="120">
                  <c:v>7.24</c:v>
                </c:pt>
                <c:pt idx="121">
                  <c:v>8.4499999999999993</c:v>
                </c:pt>
                <c:pt idx="122">
                  <c:v>3.4</c:v>
                </c:pt>
                <c:pt idx="123">
                  <c:v>6.05</c:v>
                </c:pt>
                <c:pt idx="124">
                  <c:v>8.51</c:v>
                </c:pt>
                <c:pt idx="125">
                  <c:v>6.67</c:v>
                </c:pt>
                <c:pt idx="126">
                  <c:v>7.34</c:v>
                </c:pt>
                <c:pt idx="127">
                  <c:v>6.82</c:v>
                </c:pt>
                <c:pt idx="128">
                  <c:v>5.0199999999999996</c:v>
                </c:pt>
                <c:pt idx="129">
                  <c:v>3.89</c:v>
                </c:pt>
                <c:pt idx="130">
                  <c:v>7.85</c:v>
                </c:pt>
                <c:pt idx="131">
                  <c:v>5.43</c:v>
                </c:pt>
                <c:pt idx="132">
                  <c:v>4.18</c:v>
                </c:pt>
                <c:pt idx="133">
                  <c:v>4.8</c:v>
                </c:pt>
                <c:pt idx="134">
                  <c:v>5.99</c:v>
                </c:pt>
                <c:pt idx="135">
                  <c:v>8.35</c:v>
                </c:pt>
                <c:pt idx="136">
                  <c:v>9.52</c:v>
                </c:pt>
                <c:pt idx="137">
                  <c:v>9</c:v>
                </c:pt>
                <c:pt idx="138">
                  <c:v>4.1100000000000003</c:v>
                </c:pt>
                <c:pt idx="139">
                  <c:v>7.85</c:v>
                </c:pt>
                <c:pt idx="140">
                  <c:v>7.62</c:v>
                </c:pt>
                <c:pt idx="141">
                  <c:v>3.27</c:v>
                </c:pt>
                <c:pt idx="142">
                  <c:v>4.5199999999999996</c:v>
                </c:pt>
                <c:pt idx="143">
                  <c:v>3.36</c:v>
                </c:pt>
                <c:pt idx="144">
                  <c:v>8.06</c:v>
                </c:pt>
                <c:pt idx="145">
                  <c:v>4.97</c:v>
                </c:pt>
                <c:pt idx="146">
                  <c:v>7.34</c:v>
                </c:pt>
                <c:pt idx="147">
                  <c:v>6.39</c:v>
                </c:pt>
                <c:pt idx="148">
                  <c:v>9.9600000000000009</c:v>
                </c:pt>
                <c:pt idx="149">
                  <c:v>6.07</c:v>
                </c:pt>
                <c:pt idx="150">
                  <c:v>6.87</c:v>
                </c:pt>
                <c:pt idx="151">
                  <c:v>7.16</c:v>
                </c:pt>
                <c:pt idx="152">
                  <c:v>3.35</c:v>
                </c:pt>
                <c:pt idx="153">
                  <c:v>7.39</c:v>
                </c:pt>
                <c:pt idx="154">
                  <c:v>9.65</c:v>
                </c:pt>
                <c:pt idx="155">
                  <c:v>9.48</c:v>
                </c:pt>
                <c:pt idx="156">
                  <c:v>8.0500000000000007</c:v>
                </c:pt>
                <c:pt idx="157">
                  <c:v>9.92</c:v>
                </c:pt>
                <c:pt idx="158">
                  <c:v>6.68</c:v>
                </c:pt>
                <c:pt idx="159">
                  <c:v>5.31</c:v>
                </c:pt>
                <c:pt idx="160">
                  <c:v>6.96</c:v>
                </c:pt>
                <c:pt idx="161">
                  <c:v>8.17</c:v>
                </c:pt>
                <c:pt idx="162">
                  <c:v>8.06</c:v>
                </c:pt>
                <c:pt idx="163">
                  <c:v>3.13</c:v>
                </c:pt>
                <c:pt idx="164">
                  <c:v>8.8800000000000008</c:v>
                </c:pt>
                <c:pt idx="165">
                  <c:v>7.66</c:v>
                </c:pt>
                <c:pt idx="166">
                  <c:v>4.2</c:v>
                </c:pt>
                <c:pt idx="167">
                  <c:v>5.13</c:v>
                </c:pt>
                <c:pt idx="168">
                  <c:v>3.71</c:v>
                </c:pt>
                <c:pt idx="169">
                  <c:v>4.08</c:v>
                </c:pt>
                <c:pt idx="170">
                  <c:v>8.3800000000000008</c:v>
                </c:pt>
                <c:pt idx="171">
                  <c:v>4.66</c:v>
                </c:pt>
                <c:pt idx="172">
                  <c:v>8.58</c:v>
                </c:pt>
                <c:pt idx="173">
                  <c:v>4.5199999999999996</c:v>
                </c:pt>
                <c:pt idx="174">
                  <c:v>8.2200000000000006</c:v>
                </c:pt>
                <c:pt idx="175">
                  <c:v>7.73</c:v>
                </c:pt>
                <c:pt idx="176">
                  <c:v>3.33</c:v>
                </c:pt>
                <c:pt idx="177">
                  <c:v>6.62</c:v>
                </c:pt>
                <c:pt idx="178">
                  <c:v>4.8899999999999997</c:v>
                </c:pt>
                <c:pt idx="179">
                  <c:v>5.42</c:v>
                </c:pt>
                <c:pt idx="180">
                  <c:v>6.77</c:v>
                </c:pt>
                <c:pt idx="181">
                  <c:v>9.18</c:v>
                </c:pt>
                <c:pt idx="182">
                  <c:v>8.5299999999999994</c:v>
                </c:pt>
                <c:pt idx="183">
                  <c:v>8.43</c:v>
                </c:pt>
                <c:pt idx="184">
                  <c:v>6.54</c:v>
                </c:pt>
                <c:pt idx="185">
                  <c:v>9.91</c:v>
                </c:pt>
                <c:pt idx="186">
                  <c:v>9.02</c:v>
                </c:pt>
                <c:pt idx="187">
                  <c:v>3.57</c:v>
                </c:pt>
                <c:pt idx="188">
                  <c:v>9.58</c:v>
                </c:pt>
                <c:pt idx="189">
                  <c:v>7.54</c:v>
                </c:pt>
                <c:pt idx="190">
                  <c:v>5.87</c:v>
                </c:pt>
                <c:pt idx="191">
                  <c:v>7.55</c:v>
                </c:pt>
                <c:pt idx="192">
                  <c:v>9.2200000000000006</c:v>
                </c:pt>
                <c:pt idx="193">
                  <c:v>3.71</c:v>
                </c:pt>
                <c:pt idx="194">
                  <c:v>7.23</c:v>
                </c:pt>
                <c:pt idx="195">
                  <c:v>4.71</c:v>
                </c:pt>
                <c:pt idx="196">
                  <c:v>3.52</c:v>
                </c:pt>
                <c:pt idx="197">
                  <c:v>6.66</c:v>
                </c:pt>
                <c:pt idx="198">
                  <c:v>4.9800000000000004</c:v>
                </c:pt>
                <c:pt idx="199">
                  <c:v>5.41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C9-40F3-9066-490232C96B3C}"/>
            </c:ext>
          </c:extLst>
        </c:ser>
        <c:ser>
          <c:idx val="1"/>
          <c:order val="1"/>
          <c:tx>
            <c:v>Twitter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'Engagement Summary'!$G$3:$G$200</c:f>
              <c:numCache>
                <c:formatCode>General</c:formatCode>
                <c:ptCount val="198"/>
                <c:pt idx="0">
                  <c:v>5291</c:v>
                </c:pt>
                <c:pt idx="1">
                  <c:v>5413</c:v>
                </c:pt>
                <c:pt idx="2">
                  <c:v>5495</c:v>
                </c:pt>
                <c:pt idx="3">
                  <c:v>5526</c:v>
                </c:pt>
                <c:pt idx="4">
                  <c:v>5624</c:v>
                </c:pt>
                <c:pt idx="5">
                  <c:v>5836</c:v>
                </c:pt>
                <c:pt idx="6">
                  <c:v>5900</c:v>
                </c:pt>
                <c:pt idx="7">
                  <c:v>5924</c:v>
                </c:pt>
                <c:pt idx="8">
                  <c:v>5960</c:v>
                </c:pt>
                <c:pt idx="9">
                  <c:v>6027</c:v>
                </c:pt>
                <c:pt idx="10">
                  <c:v>6031</c:v>
                </c:pt>
                <c:pt idx="11">
                  <c:v>6120</c:v>
                </c:pt>
                <c:pt idx="12">
                  <c:v>6532</c:v>
                </c:pt>
                <c:pt idx="13">
                  <c:v>6625</c:v>
                </c:pt>
                <c:pt idx="14">
                  <c:v>6772</c:v>
                </c:pt>
                <c:pt idx="15">
                  <c:v>6824</c:v>
                </c:pt>
                <c:pt idx="16">
                  <c:v>6868</c:v>
                </c:pt>
                <c:pt idx="17">
                  <c:v>7140</c:v>
                </c:pt>
                <c:pt idx="18">
                  <c:v>7245</c:v>
                </c:pt>
                <c:pt idx="19">
                  <c:v>7299</c:v>
                </c:pt>
                <c:pt idx="20">
                  <c:v>7797</c:v>
                </c:pt>
                <c:pt idx="21">
                  <c:v>7810</c:v>
                </c:pt>
                <c:pt idx="22">
                  <c:v>7859</c:v>
                </c:pt>
                <c:pt idx="23">
                  <c:v>7881</c:v>
                </c:pt>
                <c:pt idx="24">
                  <c:v>7975</c:v>
                </c:pt>
                <c:pt idx="25">
                  <c:v>8182</c:v>
                </c:pt>
                <c:pt idx="26">
                  <c:v>8274</c:v>
                </c:pt>
                <c:pt idx="27">
                  <c:v>8698</c:v>
                </c:pt>
                <c:pt idx="28">
                  <c:v>8760</c:v>
                </c:pt>
                <c:pt idx="29">
                  <c:v>8910</c:v>
                </c:pt>
                <c:pt idx="30">
                  <c:v>9092</c:v>
                </c:pt>
                <c:pt idx="31">
                  <c:v>9195</c:v>
                </c:pt>
                <c:pt idx="32">
                  <c:v>9247</c:v>
                </c:pt>
                <c:pt idx="33">
                  <c:v>9383</c:v>
                </c:pt>
                <c:pt idx="34">
                  <c:v>9567</c:v>
                </c:pt>
                <c:pt idx="35">
                  <c:v>9592</c:v>
                </c:pt>
                <c:pt idx="36">
                  <c:v>9847</c:v>
                </c:pt>
                <c:pt idx="37">
                  <c:v>10104</c:v>
                </c:pt>
                <c:pt idx="38">
                  <c:v>10253</c:v>
                </c:pt>
                <c:pt idx="39">
                  <c:v>10311</c:v>
                </c:pt>
                <c:pt idx="40">
                  <c:v>10343</c:v>
                </c:pt>
                <c:pt idx="41">
                  <c:v>10402</c:v>
                </c:pt>
                <c:pt idx="42">
                  <c:v>10495</c:v>
                </c:pt>
                <c:pt idx="43">
                  <c:v>10563</c:v>
                </c:pt>
                <c:pt idx="44">
                  <c:v>10563</c:v>
                </c:pt>
                <c:pt idx="45">
                  <c:v>10615</c:v>
                </c:pt>
                <c:pt idx="46">
                  <c:v>10681</c:v>
                </c:pt>
                <c:pt idx="47">
                  <c:v>10858</c:v>
                </c:pt>
                <c:pt idx="48">
                  <c:v>10881</c:v>
                </c:pt>
                <c:pt idx="49">
                  <c:v>11005</c:v>
                </c:pt>
                <c:pt idx="50">
                  <c:v>11181</c:v>
                </c:pt>
                <c:pt idx="51">
                  <c:v>11235</c:v>
                </c:pt>
                <c:pt idx="52">
                  <c:v>11335</c:v>
                </c:pt>
                <c:pt idx="53">
                  <c:v>11418</c:v>
                </c:pt>
                <c:pt idx="54">
                  <c:v>11421</c:v>
                </c:pt>
                <c:pt idx="55">
                  <c:v>11453</c:v>
                </c:pt>
                <c:pt idx="56">
                  <c:v>11625</c:v>
                </c:pt>
                <c:pt idx="57">
                  <c:v>11684</c:v>
                </c:pt>
                <c:pt idx="58">
                  <c:v>11826</c:v>
                </c:pt>
                <c:pt idx="59">
                  <c:v>11908</c:v>
                </c:pt>
                <c:pt idx="60">
                  <c:v>11911</c:v>
                </c:pt>
                <c:pt idx="61">
                  <c:v>11911</c:v>
                </c:pt>
                <c:pt idx="62">
                  <c:v>11966</c:v>
                </c:pt>
                <c:pt idx="63">
                  <c:v>11972</c:v>
                </c:pt>
                <c:pt idx="64">
                  <c:v>12031</c:v>
                </c:pt>
                <c:pt idx="65">
                  <c:v>12115</c:v>
                </c:pt>
                <c:pt idx="66">
                  <c:v>12170</c:v>
                </c:pt>
                <c:pt idx="67">
                  <c:v>12181</c:v>
                </c:pt>
                <c:pt idx="68">
                  <c:v>12277</c:v>
                </c:pt>
                <c:pt idx="69">
                  <c:v>12323</c:v>
                </c:pt>
                <c:pt idx="70">
                  <c:v>12390</c:v>
                </c:pt>
                <c:pt idx="71">
                  <c:v>12391</c:v>
                </c:pt>
                <c:pt idx="72">
                  <c:v>12399</c:v>
                </c:pt>
                <c:pt idx="73">
                  <c:v>12562</c:v>
                </c:pt>
                <c:pt idx="74">
                  <c:v>12767</c:v>
                </c:pt>
                <c:pt idx="75">
                  <c:v>12774</c:v>
                </c:pt>
                <c:pt idx="76">
                  <c:v>12840</c:v>
                </c:pt>
                <c:pt idx="77">
                  <c:v>12937</c:v>
                </c:pt>
                <c:pt idx="78">
                  <c:v>12985</c:v>
                </c:pt>
                <c:pt idx="79">
                  <c:v>13013</c:v>
                </c:pt>
                <c:pt idx="80">
                  <c:v>13051</c:v>
                </c:pt>
                <c:pt idx="81">
                  <c:v>13140</c:v>
                </c:pt>
                <c:pt idx="82">
                  <c:v>13301</c:v>
                </c:pt>
                <c:pt idx="83">
                  <c:v>13314</c:v>
                </c:pt>
                <c:pt idx="84">
                  <c:v>13424</c:v>
                </c:pt>
                <c:pt idx="85">
                  <c:v>13644</c:v>
                </c:pt>
                <c:pt idx="86">
                  <c:v>13740</c:v>
                </c:pt>
                <c:pt idx="87">
                  <c:v>13763</c:v>
                </c:pt>
                <c:pt idx="88">
                  <c:v>13883</c:v>
                </c:pt>
                <c:pt idx="89">
                  <c:v>14051</c:v>
                </c:pt>
                <c:pt idx="90">
                  <c:v>14178</c:v>
                </c:pt>
                <c:pt idx="91">
                  <c:v>14215</c:v>
                </c:pt>
                <c:pt idx="92">
                  <c:v>14217</c:v>
                </c:pt>
                <c:pt idx="93">
                  <c:v>14273</c:v>
                </c:pt>
                <c:pt idx="94">
                  <c:v>14412</c:v>
                </c:pt>
                <c:pt idx="95">
                  <c:v>14475</c:v>
                </c:pt>
                <c:pt idx="96">
                  <c:v>14477</c:v>
                </c:pt>
                <c:pt idx="97">
                  <c:v>14479</c:v>
                </c:pt>
                <c:pt idx="98">
                  <c:v>14496</c:v>
                </c:pt>
                <c:pt idx="99">
                  <c:v>14534</c:v>
                </c:pt>
                <c:pt idx="100">
                  <c:v>14563</c:v>
                </c:pt>
                <c:pt idx="101">
                  <c:v>14749</c:v>
                </c:pt>
                <c:pt idx="102">
                  <c:v>14975</c:v>
                </c:pt>
                <c:pt idx="103">
                  <c:v>15108</c:v>
                </c:pt>
                <c:pt idx="104">
                  <c:v>15128</c:v>
                </c:pt>
                <c:pt idx="105">
                  <c:v>15461</c:v>
                </c:pt>
                <c:pt idx="106">
                  <c:v>15595</c:v>
                </c:pt>
                <c:pt idx="107">
                  <c:v>15613</c:v>
                </c:pt>
                <c:pt idx="108">
                  <c:v>15655</c:v>
                </c:pt>
                <c:pt idx="109">
                  <c:v>15773</c:v>
                </c:pt>
                <c:pt idx="110">
                  <c:v>15915</c:v>
                </c:pt>
                <c:pt idx="111">
                  <c:v>15924</c:v>
                </c:pt>
                <c:pt idx="112">
                  <c:v>16377</c:v>
                </c:pt>
                <c:pt idx="113">
                  <c:v>16385</c:v>
                </c:pt>
                <c:pt idx="114">
                  <c:v>16875</c:v>
                </c:pt>
                <c:pt idx="115">
                  <c:v>16921</c:v>
                </c:pt>
                <c:pt idx="116">
                  <c:v>17103</c:v>
                </c:pt>
                <c:pt idx="117">
                  <c:v>17460</c:v>
                </c:pt>
                <c:pt idx="118">
                  <c:v>17574</c:v>
                </c:pt>
                <c:pt idx="119">
                  <c:v>17662</c:v>
                </c:pt>
                <c:pt idx="120">
                  <c:v>17729</c:v>
                </c:pt>
                <c:pt idx="121">
                  <c:v>18071</c:v>
                </c:pt>
                <c:pt idx="122">
                  <c:v>18267</c:v>
                </c:pt>
                <c:pt idx="123">
                  <c:v>18303</c:v>
                </c:pt>
                <c:pt idx="124">
                  <c:v>18442</c:v>
                </c:pt>
                <c:pt idx="125">
                  <c:v>18576</c:v>
                </c:pt>
                <c:pt idx="126">
                  <c:v>18654</c:v>
                </c:pt>
                <c:pt idx="127">
                  <c:v>18867</c:v>
                </c:pt>
                <c:pt idx="128">
                  <c:v>19000</c:v>
                </c:pt>
                <c:pt idx="129">
                  <c:v>19054</c:v>
                </c:pt>
                <c:pt idx="130">
                  <c:v>19328</c:v>
                </c:pt>
                <c:pt idx="131">
                  <c:v>19538</c:v>
                </c:pt>
                <c:pt idx="132">
                  <c:v>19949</c:v>
                </c:pt>
                <c:pt idx="133">
                  <c:v>20109</c:v>
                </c:pt>
                <c:pt idx="134">
                  <c:v>20162</c:v>
                </c:pt>
                <c:pt idx="135">
                  <c:v>20306</c:v>
                </c:pt>
                <c:pt idx="136">
                  <c:v>20438</c:v>
                </c:pt>
                <c:pt idx="137">
                  <c:v>20474</c:v>
                </c:pt>
                <c:pt idx="138">
                  <c:v>20572</c:v>
                </c:pt>
                <c:pt idx="139">
                  <c:v>20595</c:v>
                </c:pt>
                <c:pt idx="140">
                  <c:v>21079</c:v>
                </c:pt>
                <c:pt idx="141">
                  <c:v>21107</c:v>
                </c:pt>
                <c:pt idx="142">
                  <c:v>21134</c:v>
                </c:pt>
                <c:pt idx="143">
                  <c:v>21254</c:v>
                </c:pt>
                <c:pt idx="144">
                  <c:v>21464</c:v>
                </c:pt>
                <c:pt idx="145">
                  <c:v>21771</c:v>
                </c:pt>
                <c:pt idx="146">
                  <c:v>21900</c:v>
                </c:pt>
                <c:pt idx="147">
                  <c:v>22029</c:v>
                </c:pt>
                <c:pt idx="148">
                  <c:v>22103</c:v>
                </c:pt>
                <c:pt idx="149">
                  <c:v>22191</c:v>
                </c:pt>
                <c:pt idx="150">
                  <c:v>22234</c:v>
                </c:pt>
                <c:pt idx="151">
                  <c:v>22244</c:v>
                </c:pt>
                <c:pt idx="152">
                  <c:v>22428</c:v>
                </c:pt>
                <c:pt idx="153">
                  <c:v>22456</c:v>
                </c:pt>
                <c:pt idx="154">
                  <c:v>22619</c:v>
                </c:pt>
                <c:pt idx="155">
                  <c:v>22788</c:v>
                </c:pt>
                <c:pt idx="156">
                  <c:v>23125</c:v>
                </c:pt>
                <c:pt idx="157">
                  <c:v>23329</c:v>
                </c:pt>
                <c:pt idx="158">
                  <c:v>23486</c:v>
                </c:pt>
                <c:pt idx="159">
                  <c:v>23736</c:v>
                </c:pt>
                <c:pt idx="160">
                  <c:v>23900</c:v>
                </c:pt>
                <c:pt idx="161">
                  <c:v>23963</c:v>
                </c:pt>
                <c:pt idx="162">
                  <c:v>24112</c:v>
                </c:pt>
                <c:pt idx="163">
                  <c:v>24358</c:v>
                </c:pt>
                <c:pt idx="164">
                  <c:v>24548</c:v>
                </c:pt>
                <c:pt idx="165">
                  <c:v>24617</c:v>
                </c:pt>
                <c:pt idx="166">
                  <c:v>24827</c:v>
                </c:pt>
                <c:pt idx="167">
                  <c:v>24858</c:v>
                </c:pt>
                <c:pt idx="168">
                  <c:v>24943</c:v>
                </c:pt>
                <c:pt idx="169">
                  <c:v>25038</c:v>
                </c:pt>
                <c:pt idx="170">
                  <c:v>25040</c:v>
                </c:pt>
                <c:pt idx="171">
                  <c:v>25058</c:v>
                </c:pt>
                <c:pt idx="172">
                  <c:v>25130</c:v>
                </c:pt>
                <c:pt idx="173">
                  <c:v>25234</c:v>
                </c:pt>
                <c:pt idx="174">
                  <c:v>25259</c:v>
                </c:pt>
                <c:pt idx="175">
                  <c:v>25267</c:v>
                </c:pt>
                <c:pt idx="176">
                  <c:v>25347</c:v>
                </c:pt>
                <c:pt idx="177">
                  <c:v>25478</c:v>
                </c:pt>
                <c:pt idx="178">
                  <c:v>25537</c:v>
                </c:pt>
                <c:pt idx="179">
                  <c:v>25542</c:v>
                </c:pt>
                <c:pt idx="180">
                  <c:v>25703</c:v>
                </c:pt>
                <c:pt idx="181">
                  <c:v>25742</c:v>
                </c:pt>
                <c:pt idx="182">
                  <c:v>26024</c:v>
                </c:pt>
                <c:pt idx="183">
                  <c:v>26073</c:v>
                </c:pt>
                <c:pt idx="184">
                  <c:v>26273</c:v>
                </c:pt>
                <c:pt idx="185">
                  <c:v>26298</c:v>
                </c:pt>
                <c:pt idx="186">
                  <c:v>26333</c:v>
                </c:pt>
                <c:pt idx="187">
                  <c:v>26618</c:v>
                </c:pt>
                <c:pt idx="188">
                  <c:v>26624</c:v>
                </c:pt>
                <c:pt idx="189">
                  <c:v>26644</c:v>
                </c:pt>
                <c:pt idx="190">
                  <c:v>26730</c:v>
                </c:pt>
                <c:pt idx="191">
                  <c:v>26872</c:v>
                </c:pt>
                <c:pt idx="192">
                  <c:v>27126</c:v>
                </c:pt>
                <c:pt idx="193">
                  <c:v>27393</c:v>
                </c:pt>
                <c:pt idx="194">
                  <c:v>27575</c:v>
                </c:pt>
                <c:pt idx="195">
                  <c:v>27753</c:v>
                </c:pt>
                <c:pt idx="196">
                  <c:v>27782</c:v>
                </c:pt>
                <c:pt idx="197">
                  <c:v>27809</c:v>
                </c:pt>
              </c:numCache>
            </c:numRef>
          </c:xVal>
          <c:yVal>
            <c:numRef>
              <c:f>'Engagement Summary'!$F$3:$F$200</c:f>
              <c:numCache>
                <c:formatCode>General</c:formatCode>
                <c:ptCount val="198"/>
                <c:pt idx="0">
                  <c:v>3.7</c:v>
                </c:pt>
                <c:pt idx="1">
                  <c:v>4.96</c:v>
                </c:pt>
                <c:pt idx="2">
                  <c:v>6.41</c:v>
                </c:pt>
                <c:pt idx="3">
                  <c:v>5.41</c:v>
                </c:pt>
                <c:pt idx="4">
                  <c:v>5.98</c:v>
                </c:pt>
                <c:pt idx="5">
                  <c:v>5.3</c:v>
                </c:pt>
                <c:pt idx="6">
                  <c:v>9.15</c:v>
                </c:pt>
                <c:pt idx="7">
                  <c:v>4.53</c:v>
                </c:pt>
                <c:pt idx="8">
                  <c:v>6.03</c:v>
                </c:pt>
                <c:pt idx="9">
                  <c:v>6.26</c:v>
                </c:pt>
                <c:pt idx="10">
                  <c:v>5.84</c:v>
                </c:pt>
                <c:pt idx="11">
                  <c:v>8.0299999999999994</c:v>
                </c:pt>
                <c:pt idx="12">
                  <c:v>7.04</c:v>
                </c:pt>
                <c:pt idx="13">
                  <c:v>9.7100000000000009</c:v>
                </c:pt>
                <c:pt idx="14">
                  <c:v>7.71</c:v>
                </c:pt>
                <c:pt idx="15">
                  <c:v>7.31</c:v>
                </c:pt>
                <c:pt idx="16">
                  <c:v>8.76</c:v>
                </c:pt>
                <c:pt idx="17">
                  <c:v>3.41</c:v>
                </c:pt>
                <c:pt idx="18">
                  <c:v>9.08</c:v>
                </c:pt>
                <c:pt idx="19">
                  <c:v>5.51</c:v>
                </c:pt>
                <c:pt idx="20">
                  <c:v>9.34</c:v>
                </c:pt>
                <c:pt idx="21">
                  <c:v>7.72</c:v>
                </c:pt>
                <c:pt idx="22">
                  <c:v>5.25</c:v>
                </c:pt>
                <c:pt idx="23">
                  <c:v>3.91</c:v>
                </c:pt>
                <c:pt idx="24">
                  <c:v>5.09</c:v>
                </c:pt>
                <c:pt idx="25">
                  <c:v>6.18</c:v>
                </c:pt>
                <c:pt idx="26">
                  <c:v>9.3800000000000008</c:v>
                </c:pt>
                <c:pt idx="27">
                  <c:v>9.58</c:v>
                </c:pt>
                <c:pt idx="28">
                  <c:v>8.83</c:v>
                </c:pt>
                <c:pt idx="29">
                  <c:v>6.36</c:v>
                </c:pt>
                <c:pt idx="30">
                  <c:v>7.56</c:v>
                </c:pt>
                <c:pt idx="31">
                  <c:v>6.03</c:v>
                </c:pt>
                <c:pt idx="32">
                  <c:v>6.06</c:v>
                </c:pt>
                <c:pt idx="33">
                  <c:v>8.14</c:v>
                </c:pt>
                <c:pt idx="34">
                  <c:v>8.76</c:v>
                </c:pt>
                <c:pt idx="35">
                  <c:v>9.82</c:v>
                </c:pt>
                <c:pt idx="36">
                  <c:v>3.87</c:v>
                </c:pt>
                <c:pt idx="37">
                  <c:v>6.13</c:v>
                </c:pt>
                <c:pt idx="38">
                  <c:v>5.57</c:v>
                </c:pt>
                <c:pt idx="39">
                  <c:v>7.49</c:v>
                </c:pt>
                <c:pt idx="40">
                  <c:v>7.42</c:v>
                </c:pt>
                <c:pt idx="41">
                  <c:v>3.39</c:v>
                </c:pt>
                <c:pt idx="42">
                  <c:v>8.42</c:v>
                </c:pt>
                <c:pt idx="43">
                  <c:v>5.63</c:v>
                </c:pt>
                <c:pt idx="44">
                  <c:v>4.79</c:v>
                </c:pt>
                <c:pt idx="45">
                  <c:v>5.3</c:v>
                </c:pt>
                <c:pt idx="46">
                  <c:v>7.79</c:v>
                </c:pt>
                <c:pt idx="47">
                  <c:v>8.7200000000000006</c:v>
                </c:pt>
                <c:pt idx="48">
                  <c:v>8.4</c:v>
                </c:pt>
                <c:pt idx="49">
                  <c:v>3.49</c:v>
                </c:pt>
                <c:pt idx="50">
                  <c:v>6.03</c:v>
                </c:pt>
                <c:pt idx="51">
                  <c:v>8.6300000000000008</c:v>
                </c:pt>
                <c:pt idx="52">
                  <c:v>3.45</c:v>
                </c:pt>
                <c:pt idx="53">
                  <c:v>5.12</c:v>
                </c:pt>
                <c:pt idx="54">
                  <c:v>3.55</c:v>
                </c:pt>
                <c:pt idx="55">
                  <c:v>8.7100000000000009</c:v>
                </c:pt>
                <c:pt idx="56">
                  <c:v>6.52</c:v>
                </c:pt>
                <c:pt idx="57">
                  <c:v>8.52</c:v>
                </c:pt>
                <c:pt idx="58">
                  <c:v>6.93</c:v>
                </c:pt>
                <c:pt idx="59">
                  <c:v>4.4000000000000004</c:v>
                </c:pt>
                <c:pt idx="60">
                  <c:v>7.89</c:v>
                </c:pt>
                <c:pt idx="61">
                  <c:v>4.25</c:v>
                </c:pt>
                <c:pt idx="62">
                  <c:v>9.4</c:v>
                </c:pt>
                <c:pt idx="63">
                  <c:v>7.79</c:v>
                </c:pt>
                <c:pt idx="64">
                  <c:v>7.44</c:v>
                </c:pt>
                <c:pt idx="65">
                  <c:v>9.58</c:v>
                </c:pt>
                <c:pt idx="66">
                  <c:v>9.93</c:v>
                </c:pt>
                <c:pt idx="67">
                  <c:v>6.23</c:v>
                </c:pt>
                <c:pt idx="68">
                  <c:v>4.33</c:v>
                </c:pt>
                <c:pt idx="69">
                  <c:v>6.69</c:v>
                </c:pt>
                <c:pt idx="70">
                  <c:v>6.31</c:v>
                </c:pt>
                <c:pt idx="71">
                  <c:v>5.29</c:v>
                </c:pt>
                <c:pt idx="72">
                  <c:v>7.11</c:v>
                </c:pt>
                <c:pt idx="73">
                  <c:v>9.99</c:v>
                </c:pt>
                <c:pt idx="74">
                  <c:v>9.98</c:v>
                </c:pt>
                <c:pt idx="75">
                  <c:v>8.66</c:v>
                </c:pt>
                <c:pt idx="76">
                  <c:v>9.17</c:v>
                </c:pt>
                <c:pt idx="77">
                  <c:v>5.17</c:v>
                </c:pt>
                <c:pt idx="78">
                  <c:v>7.98</c:v>
                </c:pt>
                <c:pt idx="79">
                  <c:v>5.22</c:v>
                </c:pt>
                <c:pt idx="80">
                  <c:v>7.17</c:v>
                </c:pt>
                <c:pt idx="81">
                  <c:v>3.65</c:v>
                </c:pt>
                <c:pt idx="82">
                  <c:v>8.89</c:v>
                </c:pt>
                <c:pt idx="83">
                  <c:v>9.0500000000000007</c:v>
                </c:pt>
                <c:pt idx="84">
                  <c:v>5.34</c:v>
                </c:pt>
                <c:pt idx="85">
                  <c:v>5.82</c:v>
                </c:pt>
                <c:pt idx="86">
                  <c:v>9.7100000000000009</c:v>
                </c:pt>
                <c:pt idx="87">
                  <c:v>9.18</c:v>
                </c:pt>
                <c:pt idx="88">
                  <c:v>4.12</c:v>
                </c:pt>
                <c:pt idx="89">
                  <c:v>7.95</c:v>
                </c:pt>
                <c:pt idx="90">
                  <c:v>9.58</c:v>
                </c:pt>
                <c:pt idx="91">
                  <c:v>8.19</c:v>
                </c:pt>
                <c:pt idx="92">
                  <c:v>6.05</c:v>
                </c:pt>
                <c:pt idx="93">
                  <c:v>4.07</c:v>
                </c:pt>
                <c:pt idx="94">
                  <c:v>8.5500000000000007</c:v>
                </c:pt>
                <c:pt idx="95">
                  <c:v>7.71</c:v>
                </c:pt>
                <c:pt idx="96">
                  <c:v>8.3000000000000007</c:v>
                </c:pt>
                <c:pt idx="97">
                  <c:v>5.28</c:v>
                </c:pt>
                <c:pt idx="98">
                  <c:v>7.97</c:v>
                </c:pt>
                <c:pt idx="99">
                  <c:v>5.17</c:v>
                </c:pt>
                <c:pt idx="100">
                  <c:v>4.0599999999999996</c:v>
                </c:pt>
                <c:pt idx="101">
                  <c:v>3.5</c:v>
                </c:pt>
                <c:pt idx="102">
                  <c:v>6.12</c:v>
                </c:pt>
                <c:pt idx="103">
                  <c:v>6.44</c:v>
                </c:pt>
                <c:pt idx="104">
                  <c:v>4.8600000000000003</c:v>
                </c:pt>
                <c:pt idx="105">
                  <c:v>9.3699999999999992</c:v>
                </c:pt>
                <c:pt idx="106">
                  <c:v>5.65</c:v>
                </c:pt>
                <c:pt idx="107">
                  <c:v>9.92</c:v>
                </c:pt>
                <c:pt idx="108">
                  <c:v>6.04</c:v>
                </c:pt>
                <c:pt idx="109">
                  <c:v>5.07</c:v>
                </c:pt>
                <c:pt idx="110">
                  <c:v>5.95</c:v>
                </c:pt>
                <c:pt idx="111">
                  <c:v>7.99</c:v>
                </c:pt>
                <c:pt idx="112">
                  <c:v>9.6199999999999992</c:v>
                </c:pt>
                <c:pt idx="113">
                  <c:v>7.51</c:v>
                </c:pt>
                <c:pt idx="114">
                  <c:v>7.83</c:v>
                </c:pt>
                <c:pt idx="115">
                  <c:v>4.4800000000000004</c:v>
                </c:pt>
                <c:pt idx="116">
                  <c:v>4.03</c:v>
                </c:pt>
                <c:pt idx="117">
                  <c:v>8.7200000000000006</c:v>
                </c:pt>
                <c:pt idx="118">
                  <c:v>4.53</c:v>
                </c:pt>
                <c:pt idx="119">
                  <c:v>7.24</c:v>
                </c:pt>
                <c:pt idx="120">
                  <c:v>8.4499999999999993</c:v>
                </c:pt>
                <c:pt idx="121">
                  <c:v>3.4</c:v>
                </c:pt>
                <c:pt idx="122">
                  <c:v>6.05</c:v>
                </c:pt>
                <c:pt idx="123">
                  <c:v>8.51</c:v>
                </c:pt>
                <c:pt idx="124">
                  <c:v>6.67</c:v>
                </c:pt>
                <c:pt idx="125">
                  <c:v>7.34</c:v>
                </c:pt>
                <c:pt idx="126">
                  <c:v>6.82</c:v>
                </c:pt>
                <c:pt idx="127">
                  <c:v>5.0199999999999996</c:v>
                </c:pt>
                <c:pt idx="128">
                  <c:v>3.89</c:v>
                </c:pt>
                <c:pt idx="129">
                  <c:v>7.85</c:v>
                </c:pt>
                <c:pt idx="130">
                  <c:v>5.43</c:v>
                </c:pt>
                <c:pt idx="131">
                  <c:v>4.18</c:v>
                </c:pt>
                <c:pt idx="132">
                  <c:v>4.8</c:v>
                </c:pt>
                <c:pt idx="133">
                  <c:v>5.99</c:v>
                </c:pt>
                <c:pt idx="134">
                  <c:v>8.35</c:v>
                </c:pt>
                <c:pt idx="135">
                  <c:v>9.52</c:v>
                </c:pt>
                <c:pt idx="136">
                  <c:v>9</c:v>
                </c:pt>
                <c:pt idx="137">
                  <c:v>4.1100000000000003</c:v>
                </c:pt>
                <c:pt idx="138">
                  <c:v>7.85</c:v>
                </c:pt>
                <c:pt idx="139">
                  <c:v>7.62</c:v>
                </c:pt>
                <c:pt idx="140">
                  <c:v>3.27</c:v>
                </c:pt>
                <c:pt idx="141">
                  <c:v>4.5199999999999996</c:v>
                </c:pt>
                <c:pt idx="142">
                  <c:v>3.36</c:v>
                </c:pt>
                <c:pt idx="143">
                  <c:v>8.06</c:v>
                </c:pt>
                <c:pt idx="144">
                  <c:v>4.97</c:v>
                </c:pt>
                <c:pt idx="145">
                  <c:v>7.34</c:v>
                </c:pt>
                <c:pt idx="146">
                  <c:v>6.39</c:v>
                </c:pt>
                <c:pt idx="147">
                  <c:v>9.9600000000000009</c:v>
                </c:pt>
                <c:pt idx="148">
                  <c:v>6.07</c:v>
                </c:pt>
                <c:pt idx="149">
                  <c:v>6.87</c:v>
                </c:pt>
                <c:pt idx="150">
                  <c:v>7.16</c:v>
                </c:pt>
                <c:pt idx="151">
                  <c:v>3.35</c:v>
                </c:pt>
                <c:pt idx="152">
                  <c:v>7.39</c:v>
                </c:pt>
                <c:pt idx="153">
                  <c:v>9.65</c:v>
                </c:pt>
                <c:pt idx="154">
                  <c:v>9.48</c:v>
                </c:pt>
                <c:pt idx="155">
                  <c:v>8.0500000000000007</c:v>
                </c:pt>
                <c:pt idx="156">
                  <c:v>9.92</c:v>
                </c:pt>
                <c:pt idx="157">
                  <c:v>6.68</c:v>
                </c:pt>
                <c:pt idx="158">
                  <c:v>5.31</c:v>
                </c:pt>
                <c:pt idx="159">
                  <c:v>6.96</c:v>
                </c:pt>
                <c:pt idx="160">
                  <c:v>8.17</c:v>
                </c:pt>
                <c:pt idx="161">
                  <c:v>8.06</c:v>
                </c:pt>
                <c:pt idx="162">
                  <c:v>3.13</c:v>
                </c:pt>
                <c:pt idx="163">
                  <c:v>8.8800000000000008</c:v>
                </c:pt>
                <c:pt idx="164">
                  <c:v>7.66</c:v>
                </c:pt>
                <c:pt idx="165">
                  <c:v>4.2</c:v>
                </c:pt>
                <c:pt idx="166">
                  <c:v>5.13</c:v>
                </c:pt>
                <c:pt idx="167">
                  <c:v>3.71</c:v>
                </c:pt>
                <c:pt idx="168">
                  <c:v>4.08</c:v>
                </c:pt>
                <c:pt idx="169">
                  <c:v>8.3800000000000008</c:v>
                </c:pt>
                <c:pt idx="170">
                  <c:v>4.66</c:v>
                </c:pt>
                <c:pt idx="171">
                  <c:v>8.58</c:v>
                </c:pt>
                <c:pt idx="172">
                  <c:v>4.5199999999999996</c:v>
                </c:pt>
                <c:pt idx="173">
                  <c:v>8.2200000000000006</c:v>
                </c:pt>
                <c:pt idx="174">
                  <c:v>7.73</c:v>
                </c:pt>
                <c:pt idx="175">
                  <c:v>3.33</c:v>
                </c:pt>
                <c:pt idx="176">
                  <c:v>6.62</c:v>
                </c:pt>
                <c:pt idx="177">
                  <c:v>4.8899999999999997</c:v>
                </c:pt>
                <c:pt idx="178">
                  <c:v>5.42</c:v>
                </c:pt>
                <c:pt idx="179">
                  <c:v>6.77</c:v>
                </c:pt>
                <c:pt idx="180">
                  <c:v>9.18</c:v>
                </c:pt>
                <c:pt idx="181">
                  <c:v>8.5299999999999994</c:v>
                </c:pt>
                <c:pt idx="182">
                  <c:v>8.43</c:v>
                </c:pt>
                <c:pt idx="183">
                  <c:v>6.54</c:v>
                </c:pt>
                <c:pt idx="184">
                  <c:v>9.91</c:v>
                </c:pt>
                <c:pt idx="185">
                  <c:v>9.02</c:v>
                </c:pt>
                <c:pt idx="186">
                  <c:v>3.57</c:v>
                </c:pt>
                <c:pt idx="187">
                  <c:v>9.58</c:v>
                </c:pt>
                <c:pt idx="188">
                  <c:v>7.54</c:v>
                </c:pt>
                <c:pt idx="189">
                  <c:v>5.87</c:v>
                </c:pt>
                <c:pt idx="190">
                  <c:v>7.55</c:v>
                </c:pt>
                <c:pt idx="191">
                  <c:v>9.2200000000000006</c:v>
                </c:pt>
                <c:pt idx="192">
                  <c:v>3.71</c:v>
                </c:pt>
                <c:pt idx="193">
                  <c:v>7.23</c:v>
                </c:pt>
                <c:pt idx="194">
                  <c:v>4.71</c:v>
                </c:pt>
                <c:pt idx="195">
                  <c:v>3.52</c:v>
                </c:pt>
                <c:pt idx="196">
                  <c:v>6.66</c:v>
                </c:pt>
                <c:pt idx="197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C9-40F3-9066-490232C96B3C}"/>
            </c:ext>
          </c:extLst>
        </c:ser>
        <c:ser>
          <c:idx val="2"/>
          <c:order val="2"/>
          <c:tx>
            <c:v>Youtube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'Engagement Summary'!$G$4:$G$198</c:f>
              <c:numCache>
                <c:formatCode>General</c:formatCode>
                <c:ptCount val="195"/>
                <c:pt idx="0">
                  <c:v>5413</c:v>
                </c:pt>
                <c:pt idx="1">
                  <c:v>5495</c:v>
                </c:pt>
                <c:pt idx="2">
                  <c:v>5526</c:v>
                </c:pt>
                <c:pt idx="3">
                  <c:v>5624</c:v>
                </c:pt>
                <c:pt idx="4">
                  <c:v>5836</c:v>
                </c:pt>
                <c:pt idx="5">
                  <c:v>5900</c:v>
                </c:pt>
                <c:pt idx="6">
                  <c:v>5924</c:v>
                </c:pt>
                <c:pt idx="7">
                  <c:v>5960</c:v>
                </c:pt>
                <c:pt idx="8">
                  <c:v>6027</c:v>
                </c:pt>
                <c:pt idx="9">
                  <c:v>6031</c:v>
                </c:pt>
                <c:pt idx="10">
                  <c:v>6120</c:v>
                </c:pt>
                <c:pt idx="11">
                  <c:v>6532</c:v>
                </c:pt>
                <c:pt idx="12">
                  <c:v>6625</c:v>
                </c:pt>
                <c:pt idx="13">
                  <c:v>6772</c:v>
                </c:pt>
                <c:pt idx="14">
                  <c:v>6824</c:v>
                </c:pt>
                <c:pt idx="15">
                  <c:v>6868</c:v>
                </c:pt>
                <c:pt idx="16">
                  <c:v>7140</c:v>
                </c:pt>
                <c:pt idx="17">
                  <c:v>7245</c:v>
                </c:pt>
                <c:pt idx="18">
                  <c:v>7299</c:v>
                </c:pt>
                <c:pt idx="19">
                  <c:v>7797</c:v>
                </c:pt>
                <c:pt idx="20">
                  <c:v>7810</c:v>
                </c:pt>
                <c:pt idx="21">
                  <c:v>7859</c:v>
                </c:pt>
                <c:pt idx="22">
                  <c:v>7881</c:v>
                </c:pt>
                <c:pt idx="23">
                  <c:v>7975</c:v>
                </c:pt>
                <c:pt idx="24">
                  <c:v>8182</c:v>
                </c:pt>
                <c:pt idx="25">
                  <c:v>8274</c:v>
                </c:pt>
                <c:pt idx="26">
                  <c:v>8698</c:v>
                </c:pt>
                <c:pt idx="27">
                  <c:v>8760</c:v>
                </c:pt>
                <c:pt idx="28">
                  <c:v>8910</c:v>
                </c:pt>
                <c:pt idx="29">
                  <c:v>9092</c:v>
                </c:pt>
                <c:pt idx="30">
                  <c:v>9195</c:v>
                </c:pt>
                <c:pt idx="31">
                  <c:v>9247</c:v>
                </c:pt>
                <c:pt idx="32">
                  <c:v>9383</c:v>
                </c:pt>
                <c:pt idx="33">
                  <c:v>9567</c:v>
                </c:pt>
                <c:pt idx="34">
                  <c:v>9592</c:v>
                </c:pt>
                <c:pt idx="35">
                  <c:v>9847</c:v>
                </c:pt>
                <c:pt idx="36">
                  <c:v>10104</c:v>
                </c:pt>
                <c:pt idx="37">
                  <c:v>10253</c:v>
                </c:pt>
                <c:pt idx="38">
                  <c:v>10311</c:v>
                </c:pt>
                <c:pt idx="39">
                  <c:v>10343</c:v>
                </c:pt>
                <c:pt idx="40">
                  <c:v>10402</c:v>
                </c:pt>
                <c:pt idx="41">
                  <c:v>10495</c:v>
                </c:pt>
                <c:pt idx="42">
                  <c:v>10563</c:v>
                </c:pt>
                <c:pt idx="43">
                  <c:v>10563</c:v>
                </c:pt>
                <c:pt idx="44">
                  <c:v>10615</c:v>
                </c:pt>
                <c:pt idx="45">
                  <c:v>10681</c:v>
                </c:pt>
                <c:pt idx="46">
                  <c:v>10858</c:v>
                </c:pt>
                <c:pt idx="47">
                  <c:v>10881</c:v>
                </c:pt>
                <c:pt idx="48">
                  <c:v>11005</c:v>
                </c:pt>
                <c:pt idx="49">
                  <c:v>11181</c:v>
                </c:pt>
                <c:pt idx="50">
                  <c:v>11235</c:v>
                </c:pt>
                <c:pt idx="51">
                  <c:v>11335</c:v>
                </c:pt>
                <c:pt idx="52">
                  <c:v>11418</c:v>
                </c:pt>
                <c:pt idx="53">
                  <c:v>11421</c:v>
                </c:pt>
                <c:pt idx="54">
                  <c:v>11453</c:v>
                </c:pt>
                <c:pt idx="55">
                  <c:v>11625</c:v>
                </c:pt>
                <c:pt idx="56">
                  <c:v>11684</c:v>
                </c:pt>
                <c:pt idx="57">
                  <c:v>11826</c:v>
                </c:pt>
                <c:pt idx="58">
                  <c:v>11908</c:v>
                </c:pt>
                <c:pt idx="59">
                  <c:v>11911</c:v>
                </c:pt>
                <c:pt idx="60">
                  <c:v>11911</c:v>
                </c:pt>
                <c:pt idx="61">
                  <c:v>11966</c:v>
                </c:pt>
                <c:pt idx="62">
                  <c:v>11972</c:v>
                </c:pt>
                <c:pt idx="63">
                  <c:v>12031</c:v>
                </c:pt>
                <c:pt idx="64">
                  <c:v>12115</c:v>
                </c:pt>
                <c:pt idx="65">
                  <c:v>12170</c:v>
                </c:pt>
                <c:pt idx="66">
                  <c:v>12181</c:v>
                </c:pt>
                <c:pt idx="67">
                  <c:v>12277</c:v>
                </c:pt>
                <c:pt idx="68">
                  <c:v>12323</c:v>
                </c:pt>
                <c:pt idx="69">
                  <c:v>12390</c:v>
                </c:pt>
                <c:pt idx="70">
                  <c:v>12391</c:v>
                </c:pt>
                <c:pt idx="71">
                  <c:v>12399</c:v>
                </c:pt>
                <c:pt idx="72">
                  <c:v>12562</c:v>
                </c:pt>
                <c:pt idx="73">
                  <c:v>12767</c:v>
                </c:pt>
                <c:pt idx="74">
                  <c:v>12774</c:v>
                </c:pt>
                <c:pt idx="75">
                  <c:v>12840</c:v>
                </c:pt>
                <c:pt idx="76">
                  <c:v>12937</c:v>
                </c:pt>
                <c:pt idx="77">
                  <c:v>12985</c:v>
                </c:pt>
                <c:pt idx="78">
                  <c:v>13013</c:v>
                </c:pt>
                <c:pt idx="79">
                  <c:v>13051</c:v>
                </c:pt>
                <c:pt idx="80">
                  <c:v>13140</c:v>
                </c:pt>
                <c:pt idx="81">
                  <c:v>13301</c:v>
                </c:pt>
                <c:pt idx="82">
                  <c:v>13314</c:v>
                </c:pt>
                <c:pt idx="83">
                  <c:v>13424</c:v>
                </c:pt>
                <c:pt idx="84">
                  <c:v>13644</c:v>
                </c:pt>
                <c:pt idx="85">
                  <c:v>13740</c:v>
                </c:pt>
                <c:pt idx="86">
                  <c:v>13763</c:v>
                </c:pt>
                <c:pt idx="87">
                  <c:v>13883</c:v>
                </c:pt>
                <c:pt idx="88">
                  <c:v>14051</c:v>
                </c:pt>
                <c:pt idx="89">
                  <c:v>14178</c:v>
                </c:pt>
                <c:pt idx="90">
                  <c:v>14215</c:v>
                </c:pt>
                <c:pt idx="91">
                  <c:v>14217</c:v>
                </c:pt>
                <c:pt idx="92">
                  <c:v>14273</c:v>
                </c:pt>
                <c:pt idx="93">
                  <c:v>14412</c:v>
                </c:pt>
                <c:pt idx="94">
                  <c:v>14475</c:v>
                </c:pt>
                <c:pt idx="95">
                  <c:v>14477</c:v>
                </c:pt>
                <c:pt idx="96">
                  <c:v>14479</c:v>
                </c:pt>
                <c:pt idx="97">
                  <c:v>14496</c:v>
                </c:pt>
                <c:pt idx="98">
                  <c:v>14534</c:v>
                </c:pt>
                <c:pt idx="99">
                  <c:v>14563</c:v>
                </c:pt>
                <c:pt idx="100">
                  <c:v>14749</c:v>
                </c:pt>
                <c:pt idx="101">
                  <c:v>14975</c:v>
                </c:pt>
                <c:pt idx="102">
                  <c:v>15108</c:v>
                </c:pt>
                <c:pt idx="103">
                  <c:v>15128</c:v>
                </c:pt>
                <c:pt idx="104">
                  <c:v>15461</c:v>
                </c:pt>
                <c:pt idx="105">
                  <c:v>15595</c:v>
                </c:pt>
                <c:pt idx="106">
                  <c:v>15613</c:v>
                </c:pt>
                <c:pt idx="107">
                  <c:v>15655</c:v>
                </c:pt>
                <c:pt idx="108">
                  <c:v>15773</c:v>
                </c:pt>
                <c:pt idx="109">
                  <c:v>15915</c:v>
                </c:pt>
                <c:pt idx="110">
                  <c:v>15924</c:v>
                </c:pt>
                <c:pt idx="111">
                  <c:v>16377</c:v>
                </c:pt>
                <c:pt idx="112">
                  <c:v>16385</c:v>
                </c:pt>
                <c:pt idx="113">
                  <c:v>16875</c:v>
                </c:pt>
                <c:pt idx="114">
                  <c:v>16921</c:v>
                </c:pt>
                <c:pt idx="115">
                  <c:v>17103</c:v>
                </c:pt>
                <c:pt idx="116">
                  <c:v>17460</c:v>
                </c:pt>
                <c:pt idx="117">
                  <c:v>17574</c:v>
                </c:pt>
                <c:pt idx="118">
                  <c:v>17662</c:v>
                </c:pt>
                <c:pt idx="119">
                  <c:v>17729</c:v>
                </c:pt>
                <c:pt idx="120">
                  <c:v>18071</c:v>
                </c:pt>
                <c:pt idx="121">
                  <c:v>18267</c:v>
                </c:pt>
                <c:pt idx="122">
                  <c:v>18303</c:v>
                </c:pt>
                <c:pt idx="123">
                  <c:v>18442</c:v>
                </c:pt>
                <c:pt idx="124">
                  <c:v>18576</c:v>
                </c:pt>
                <c:pt idx="125">
                  <c:v>18654</c:v>
                </c:pt>
                <c:pt idx="126">
                  <c:v>18867</c:v>
                </c:pt>
                <c:pt idx="127">
                  <c:v>19000</c:v>
                </c:pt>
                <c:pt idx="128">
                  <c:v>19054</c:v>
                </c:pt>
                <c:pt idx="129">
                  <c:v>19328</c:v>
                </c:pt>
                <c:pt idx="130">
                  <c:v>19538</c:v>
                </c:pt>
                <c:pt idx="131">
                  <c:v>19949</c:v>
                </c:pt>
                <c:pt idx="132">
                  <c:v>20109</c:v>
                </c:pt>
                <c:pt idx="133">
                  <c:v>20162</c:v>
                </c:pt>
                <c:pt idx="134">
                  <c:v>20306</c:v>
                </c:pt>
                <c:pt idx="135">
                  <c:v>20438</c:v>
                </c:pt>
                <c:pt idx="136">
                  <c:v>20474</c:v>
                </c:pt>
                <c:pt idx="137">
                  <c:v>20572</c:v>
                </c:pt>
                <c:pt idx="138">
                  <c:v>20595</c:v>
                </c:pt>
                <c:pt idx="139">
                  <c:v>21079</c:v>
                </c:pt>
                <c:pt idx="140">
                  <c:v>21107</c:v>
                </c:pt>
                <c:pt idx="141">
                  <c:v>21134</c:v>
                </c:pt>
                <c:pt idx="142">
                  <c:v>21254</c:v>
                </c:pt>
                <c:pt idx="143">
                  <c:v>21464</c:v>
                </c:pt>
                <c:pt idx="144">
                  <c:v>21771</c:v>
                </c:pt>
                <c:pt idx="145">
                  <c:v>21900</c:v>
                </c:pt>
                <c:pt idx="146">
                  <c:v>22029</c:v>
                </c:pt>
                <c:pt idx="147">
                  <c:v>22103</c:v>
                </c:pt>
                <c:pt idx="148">
                  <c:v>22191</c:v>
                </c:pt>
                <c:pt idx="149">
                  <c:v>22234</c:v>
                </c:pt>
                <c:pt idx="150">
                  <c:v>22244</c:v>
                </c:pt>
                <c:pt idx="151">
                  <c:v>22428</c:v>
                </c:pt>
                <c:pt idx="152">
                  <c:v>22456</c:v>
                </c:pt>
                <c:pt idx="153">
                  <c:v>22619</c:v>
                </c:pt>
                <c:pt idx="154">
                  <c:v>22788</c:v>
                </c:pt>
                <c:pt idx="155">
                  <c:v>23125</c:v>
                </c:pt>
                <c:pt idx="156">
                  <c:v>23329</c:v>
                </c:pt>
                <c:pt idx="157">
                  <c:v>23486</c:v>
                </c:pt>
                <c:pt idx="158">
                  <c:v>23736</c:v>
                </c:pt>
                <c:pt idx="159">
                  <c:v>23900</c:v>
                </c:pt>
                <c:pt idx="160">
                  <c:v>23963</c:v>
                </c:pt>
                <c:pt idx="161">
                  <c:v>24112</c:v>
                </c:pt>
                <c:pt idx="162">
                  <c:v>24358</c:v>
                </c:pt>
                <c:pt idx="163">
                  <c:v>24548</c:v>
                </c:pt>
                <c:pt idx="164">
                  <c:v>24617</c:v>
                </c:pt>
                <c:pt idx="165">
                  <c:v>24827</c:v>
                </c:pt>
                <c:pt idx="166">
                  <c:v>24858</c:v>
                </c:pt>
                <c:pt idx="167">
                  <c:v>24943</c:v>
                </c:pt>
                <c:pt idx="168">
                  <c:v>25038</c:v>
                </c:pt>
                <c:pt idx="169">
                  <c:v>25040</c:v>
                </c:pt>
                <c:pt idx="170">
                  <c:v>25058</c:v>
                </c:pt>
                <c:pt idx="171">
                  <c:v>25130</c:v>
                </c:pt>
                <c:pt idx="172">
                  <c:v>25234</c:v>
                </c:pt>
                <c:pt idx="173">
                  <c:v>25259</c:v>
                </c:pt>
                <c:pt idx="174">
                  <c:v>25267</c:v>
                </c:pt>
                <c:pt idx="175">
                  <c:v>25347</c:v>
                </c:pt>
                <c:pt idx="176">
                  <c:v>25478</c:v>
                </c:pt>
                <c:pt idx="177">
                  <c:v>25537</c:v>
                </c:pt>
                <c:pt idx="178">
                  <c:v>25542</c:v>
                </c:pt>
                <c:pt idx="179">
                  <c:v>25703</c:v>
                </c:pt>
                <c:pt idx="180">
                  <c:v>25742</c:v>
                </c:pt>
                <c:pt idx="181">
                  <c:v>26024</c:v>
                </c:pt>
                <c:pt idx="182">
                  <c:v>26073</c:v>
                </c:pt>
                <c:pt idx="183">
                  <c:v>26273</c:v>
                </c:pt>
                <c:pt idx="184">
                  <c:v>26298</c:v>
                </c:pt>
                <c:pt idx="185">
                  <c:v>26333</c:v>
                </c:pt>
                <c:pt idx="186">
                  <c:v>26618</c:v>
                </c:pt>
                <c:pt idx="187">
                  <c:v>26624</c:v>
                </c:pt>
                <c:pt idx="188">
                  <c:v>26644</c:v>
                </c:pt>
                <c:pt idx="189">
                  <c:v>26730</c:v>
                </c:pt>
                <c:pt idx="190">
                  <c:v>26872</c:v>
                </c:pt>
                <c:pt idx="191">
                  <c:v>27126</c:v>
                </c:pt>
                <c:pt idx="192">
                  <c:v>27393</c:v>
                </c:pt>
                <c:pt idx="193">
                  <c:v>27575</c:v>
                </c:pt>
                <c:pt idx="194">
                  <c:v>27753</c:v>
                </c:pt>
              </c:numCache>
            </c:numRef>
          </c:xVal>
          <c:yVal>
            <c:numRef>
              <c:f>'Engagement Summary'!$F$4:$F$198</c:f>
              <c:numCache>
                <c:formatCode>General</c:formatCode>
                <c:ptCount val="195"/>
                <c:pt idx="0">
                  <c:v>4.96</c:v>
                </c:pt>
                <c:pt idx="1">
                  <c:v>6.41</c:v>
                </c:pt>
                <c:pt idx="2">
                  <c:v>5.41</c:v>
                </c:pt>
                <c:pt idx="3">
                  <c:v>5.98</c:v>
                </c:pt>
                <c:pt idx="4">
                  <c:v>5.3</c:v>
                </c:pt>
                <c:pt idx="5">
                  <c:v>9.15</c:v>
                </c:pt>
                <c:pt idx="6">
                  <c:v>4.53</c:v>
                </c:pt>
                <c:pt idx="7">
                  <c:v>6.03</c:v>
                </c:pt>
                <c:pt idx="8">
                  <c:v>6.26</c:v>
                </c:pt>
                <c:pt idx="9">
                  <c:v>5.84</c:v>
                </c:pt>
                <c:pt idx="10">
                  <c:v>8.0299999999999994</c:v>
                </c:pt>
                <c:pt idx="11">
                  <c:v>7.04</c:v>
                </c:pt>
                <c:pt idx="12">
                  <c:v>9.7100000000000009</c:v>
                </c:pt>
                <c:pt idx="13">
                  <c:v>7.71</c:v>
                </c:pt>
                <c:pt idx="14">
                  <c:v>7.31</c:v>
                </c:pt>
                <c:pt idx="15">
                  <c:v>8.76</c:v>
                </c:pt>
                <c:pt idx="16">
                  <c:v>3.41</c:v>
                </c:pt>
                <c:pt idx="17">
                  <c:v>9.08</c:v>
                </c:pt>
                <c:pt idx="18">
                  <c:v>5.51</c:v>
                </c:pt>
                <c:pt idx="19">
                  <c:v>9.34</c:v>
                </c:pt>
                <c:pt idx="20">
                  <c:v>7.72</c:v>
                </c:pt>
                <c:pt idx="21">
                  <c:v>5.25</c:v>
                </c:pt>
                <c:pt idx="22">
                  <c:v>3.91</c:v>
                </c:pt>
                <c:pt idx="23">
                  <c:v>5.09</c:v>
                </c:pt>
                <c:pt idx="24">
                  <c:v>6.18</c:v>
                </c:pt>
                <c:pt idx="25">
                  <c:v>9.3800000000000008</c:v>
                </c:pt>
                <c:pt idx="26">
                  <c:v>9.58</c:v>
                </c:pt>
                <c:pt idx="27">
                  <c:v>8.83</c:v>
                </c:pt>
                <c:pt idx="28">
                  <c:v>6.36</c:v>
                </c:pt>
                <c:pt idx="29">
                  <c:v>7.56</c:v>
                </c:pt>
                <c:pt idx="30">
                  <c:v>6.03</c:v>
                </c:pt>
                <c:pt idx="31">
                  <c:v>6.06</c:v>
                </c:pt>
                <c:pt idx="32">
                  <c:v>8.14</c:v>
                </c:pt>
                <c:pt idx="33">
                  <c:v>8.76</c:v>
                </c:pt>
                <c:pt idx="34">
                  <c:v>9.82</c:v>
                </c:pt>
                <c:pt idx="35">
                  <c:v>3.87</c:v>
                </c:pt>
                <c:pt idx="36">
                  <c:v>6.13</c:v>
                </c:pt>
                <c:pt idx="37">
                  <c:v>5.57</c:v>
                </c:pt>
                <c:pt idx="38">
                  <c:v>7.49</c:v>
                </c:pt>
                <c:pt idx="39">
                  <c:v>7.42</c:v>
                </c:pt>
                <c:pt idx="40">
                  <c:v>3.39</c:v>
                </c:pt>
                <c:pt idx="41">
                  <c:v>8.42</c:v>
                </c:pt>
                <c:pt idx="42">
                  <c:v>5.63</c:v>
                </c:pt>
                <c:pt idx="43">
                  <c:v>4.79</c:v>
                </c:pt>
                <c:pt idx="44">
                  <c:v>5.3</c:v>
                </c:pt>
                <c:pt idx="45">
                  <c:v>7.79</c:v>
                </c:pt>
                <c:pt idx="46">
                  <c:v>8.7200000000000006</c:v>
                </c:pt>
                <c:pt idx="47">
                  <c:v>8.4</c:v>
                </c:pt>
                <c:pt idx="48">
                  <c:v>3.49</c:v>
                </c:pt>
                <c:pt idx="49">
                  <c:v>6.03</c:v>
                </c:pt>
                <c:pt idx="50">
                  <c:v>8.6300000000000008</c:v>
                </c:pt>
                <c:pt idx="51">
                  <c:v>3.45</c:v>
                </c:pt>
                <c:pt idx="52">
                  <c:v>5.12</c:v>
                </c:pt>
                <c:pt idx="53">
                  <c:v>3.55</c:v>
                </c:pt>
                <c:pt idx="54">
                  <c:v>8.7100000000000009</c:v>
                </c:pt>
                <c:pt idx="55">
                  <c:v>6.52</c:v>
                </c:pt>
                <c:pt idx="56">
                  <c:v>8.52</c:v>
                </c:pt>
                <c:pt idx="57">
                  <c:v>6.93</c:v>
                </c:pt>
                <c:pt idx="58">
                  <c:v>4.4000000000000004</c:v>
                </c:pt>
                <c:pt idx="59">
                  <c:v>7.89</c:v>
                </c:pt>
                <c:pt idx="60">
                  <c:v>4.25</c:v>
                </c:pt>
                <c:pt idx="61">
                  <c:v>9.4</c:v>
                </c:pt>
                <c:pt idx="62">
                  <c:v>7.79</c:v>
                </c:pt>
                <c:pt idx="63">
                  <c:v>7.44</c:v>
                </c:pt>
                <c:pt idx="64">
                  <c:v>9.58</c:v>
                </c:pt>
                <c:pt idx="65">
                  <c:v>9.93</c:v>
                </c:pt>
                <c:pt idx="66">
                  <c:v>6.23</c:v>
                </c:pt>
                <c:pt idx="67">
                  <c:v>4.33</c:v>
                </c:pt>
                <c:pt idx="68">
                  <c:v>6.69</c:v>
                </c:pt>
                <c:pt idx="69">
                  <c:v>6.31</c:v>
                </c:pt>
                <c:pt idx="70">
                  <c:v>5.29</c:v>
                </c:pt>
                <c:pt idx="71">
                  <c:v>7.11</c:v>
                </c:pt>
                <c:pt idx="72">
                  <c:v>9.99</c:v>
                </c:pt>
                <c:pt idx="73">
                  <c:v>9.98</c:v>
                </c:pt>
                <c:pt idx="74">
                  <c:v>8.66</c:v>
                </c:pt>
                <c:pt idx="75">
                  <c:v>9.17</c:v>
                </c:pt>
                <c:pt idx="76">
                  <c:v>5.17</c:v>
                </c:pt>
                <c:pt idx="77">
                  <c:v>7.98</c:v>
                </c:pt>
                <c:pt idx="78">
                  <c:v>5.22</c:v>
                </c:pt>
                <c:pt idx="79">
                  <c:v>7.17</c:v>
                </c:pt>
                <c:pt idx="80">
                  <c:v>3.65</c:v>
                </c:pt>
                <c:pt idx="81">
                  <c:v>8.89</c:v>
                </c:pt>
                <c:pt idx="82">
                  <c:v>9.0500000000000007</c:v>
                </c:pt>
                <c:pt idx="83">
                  <c:v>5.34</c:v>
                </c:pt>
                <c:pt idx="84">
                  <c:v>5.82</c:v>
                </c:pt>
                <c:pt idx="85">
                  <c:v>9.7100000000000009</c:v>
                </c:pt>
                <c:pt idx="86">
                  <c:v>9.18</c:v>
                </c:pt>
                <c:pt idx="87">
                  <c:v>4.12</c:v>
                </c:pt>
                <c:pt idx="88">
                  <c:v>7.95</c:v>
                </c:pt>
                <c:pt idx="89">
                  <c:v>9.58</c:v>
                </c:pt>
                <c:pt idx="90">
                  <c:v>8.19</c:v>
                </c:pt>
                <c:pt idx="91">
                  <c:v>6.05</c:v>
                </c:pt>
                <c:pt idx="92">
                  <c:v>4.07</c:v>
                </c:pt>
                <c:pt idx="93">
                  <c:v>8.5500000000000007</c:v>
                </c:pt>
                <c:pt idx="94">
                  <c:v>7.71</c:v>
                </c:pt>
                <c:pt idx="95">
                  <c:v>8.3000000000000007</c:v>
                </c:pt>
                <c:pt idx="96">
                  <c:v>5.28</c:v>
                </c:pt>
                <c:pt idx="97">
                  <c:v>7.97</c:v>
                </c:pt>
                <c:pt idx="98">
                  <c:v>5.17</c:v>
                </c:pt>
                <c:pt idx="99">
                  <c:v>4.0599999999999996</c:v>
                </c:pt>
                <c:pt idx="100">
                  <c:v>3.5</c:v>
                </c:pt>
                <c:pt idx="101">
                  <c:v>6.12</c:v>
                </c:pt>
                <c:pt idx="102">
                  <c:v>6.44</c:v>
                </c:pt>
                <c:pt idx="103">
                  <c:v>4.8600000000000003</c:v>
                </c:pt>
                <c:pt idx="104">
                  <c:v>9.3699999999999992</c:v>
                </c:pt>
                <c:pt idx="105">
                  <c:v>5.65</c:v>
                </c:pt>
                <c:pt idx="106">
                  <c:v>9.92</c:v>
                </c:pt>
                <c:pt idx="107">
                  <c:v>6.04</c:v>
                </c:pt>
                <c:pt idx="108">
                  <c:v>5.07</c:v>
                </c:pt>
                <c:pt idx="109">
                  <c:v>5.95</c:v>
                </c:pt>
                <c:pt idx="110">
                  <c:v>7.99</c:v>
                </c:pt>
                <c:pt idx="111">
                  <c:v>9.6199999999999992</c:v>
                </c:pt>
                <c:pt idx="112">
                  <c:v>7.51</c:v>
                </c:pt>
                <c:pt idx="113">
                  <c:v>7.83</c:v>
                </c:pt>
                <c:pt idx="114">
                  <c:v>4.4800000000000004</c:v>
                </c:pt>
                <c:pt idx="115">
                  <c:v>4.03</c:v>
                </c:pt>
                <c:pt idx="116">
                  <c:v>8.7200000000000006</c:v>
                </c:pt>
                <c:pt idx="117">
                  <c:v>4.53</c:v>
                </c:pt>
                <c:pt idx="118">
                  <c:v>7.24</c:v>
                </c:pt>
                <c:pt idx="119">
                  <c:v>8.4499999999999993</c:v>
                </c:pt>
                <c:pt idx="120">
                  <c:v>3.4</c:v>
                </c:pt>
                <c:pt idx="121">
                  <c:v>6.05</c:v>
                </c:pt>
                <c:pt idx="122">
                  <c:v>8.51</c:v>
                </c:pt>
                <c:pt idx="123">
                  <c:v>6.67</c:v>
                </c:pt>
                <c:pt idx="124">
                  <c:v>7.34</c:v>
                </c:pt>
                <c:pt idx="125">
                  <c:v>6.82</c:v>
                </c:pt>
                <c:pt idx="126">
                  <c:v>5.0199999999999996</c:v>
                </c:pt>
                <c:pt idx="127">
                  <c:v>3.89</c:v>
                </c:pt>
                <c:pt idx="128">
                  <c:v>7.85</c:v>
                </c:pt>
                <c:pt idx="129">
                  <c:v>5.43</c:v>
                </c:pt>
                <c:pt idx="130">
                  <c:v>4.18</c:v>
                </c:pt>
                <c:pt idx="131">
                  <c:v>4.8</c:v>
                </c:pt>
                <c:pt idx="132">
                  <c:v>5.99</c:v>
                </c:pt>
                <c:pt idx="133">
                  <c:v>8.35</c:v>
                </c:pt>
                <c:pt idx="134">
                  <c:v>9.52</c:v>
                </c:pt>
                <c:pt idx="135">
                  <c:v>9</c:v>
                </c:pt>
                <c:pt idx="136">
                  <c:v>4.1100000000000003</c:v>
                </c:pt>
                <c:pt idx="137">
                  <c:v>7.85</c:v>
                </c:pt>
                <c:pt idx="138">
                  <c:v>7.62</c:v>
                </c:pt>
                <c:pt idx="139">
                  <c:v>3.27</c:v>
                </c:pt>
                <c:pt idx="140">
                  <c:v>4.5199999999999996</c:v>
                </c:pt>
                <c:pt idx="141">
                  <c:v>3.36</c:v>
                </c:pt>
                <c:pt idx="142">
                  <c:v>8.06</c:v>
                </c:pt>
                <c:pt idx="143">
                  <c:v>4.97</c:v>
                </c:pt>
                <c:pt idx="144">
                  <c:v>7.34</c:v>
                </c:pt>
                <c:pt idx="145">
                  <c:v>6.39</c:v>
                </c:pt>
                <c:pt idx="146">
                  <c:v>9.9600000000000009</c:v>
                </c:pt>
                <c:pt idx="147">
                  <c:v>6.07</c:v>
                </c:pt>
                <c:pt idx="148">
                  <c:v>6.87</c:v>
                </c:pt>
                <c:pt idx="149">
                  <c:v>7.16</c:v>
                </c:pt>
                <c:pt idx="150">
                  <c:v>3.35</c:v>
                </c:pt>
                <c:pt idx="151">
                  <c:v>7.39</c:v>
                </c:pt>
                <c:pt idx="152">
                  <c:v>9.65</c:v>
                </c:pt>
                <c:pt idx="153">
                  <c:v>9.48</c:v>
                </c:pt>
                <c:pt idx="154">
                  <c:v>8.0500000000000007</c:v>
                </c:pt>
                <c:pt idx="155">
                  <c:v>9.92</c:v>
                </c:pt>
                <c:pt idx="156">
                  <c:v>6.68</c:v>
                </c:pt>
                <c:pt idx="157">
                  <c:v>5.31</c:v>
                </c:pt>
                <c:pt idx="158">
                  <c:v>6.96</c:v>
                </c:pt>
                <c:pt idx="159">
                  <c:v>8.17</c:v>
                </c:pt>
                <c:pt idx="160">
                  <c:v>8.06</c:v>
                </c:pt>
                <c:pt idx="161">
                  <c:v>3.13</c:v>
                </c:pt>
                <c:pt idx="162">
                  <c:v>8.8800000000000008</c:v>
                </c:pt>
                <c:pt idx="163">
                  <c:v>7.66</c:v>
                </c:pt>
                <c:pt idx="164">
                  <c:v>4.2</c:v>
                </c:pt>
                <c:pt idx="165">
                  <c:v>5.13</c:v>
                </c:pt>
                <c:pt idx="166">
                  <c:v>3.71</c:v>
                </c:pt>
                <c:pt idx="167">
                  <c:v>4.08</c:v>
                </c:pt>
                <c:pt idx="168">
                  <c:v>8.3800000000000008</c:v>
                </c:pt>
                <c:pt idx="169">
                  <c:v>4.66</c:v>
                </c:pt>
                <c:pt idx="170">
                  <c:v>8.58</c:v>
                </c:pt>
                <c:pt idx="171">
                  <c:v>4.5199999999999996</c:v>
                </c:pt>
                <c:pt idx="172">
                  <c:v>8.2200000000000006</c:v>
                </c:pt>
                <c:pt idx="173">
                  <c:v>7.73</c:v>
                </c:pt>
                <c:pt idx="174">
                  <c:v>3.33</c:v>
                </c:pt>
                <c:pt idx="175">
                  <c:v>6.62</c:v>
                </c:pt>
                <c:pt idx="176">
                  <c:v>4.8899999999999997</c:v>
                </c:pt>
                <c:pt idx="177">
                  <c:v>5.42</c:v>
                </c:pt>
                <c:pt idx="178">
                  <c:v>6.77</c:v>
                </c:pt>
                <c:pt idx="179">
                  <c:v>9.18</c:v>
                </c:pt>
                <c:pt idx="180">
                  <c:v>8.5299999999999994</c:v>
                </c:pt>
                <c:pt idx="181">
                  <c:v>8.43</c:v>
                </c:pt>
                <c:pt idx="182">
                  <c:v>6.54</c:v>
                </c:pt>
                <c:pt idx="183">
                  <c:v>9.91</c:v>
                </c:pt>
                <c:pt idx="184">
                  <c:v>9.02</c:v>
                </c:pt>
                <c:pt idx="185">
                  <c:v>3.57</c:v>
                </c:pt>
                <c:pt idx="186">
                  <c:v>9.58</c:v>
                </c:pt>
                <c:pt idx="187">
                  <c:v>7.54</c:v>
                </c:pt>
                <c:pt idx="188">
                  <c:v>5.87</c:v>
                </c:pt>
                <c:pt idx="189">
                  <c:v>7.55</c:v>
                </c:pt>
                <c:pt idx="190">
                  <c:v>9.2200000000000006</c:v>
                </c:pt>
                <c:pt idx="191">
                  <c:v>3.71</c:v>
                </c:pt>
                <c:pt idx="192">
                  <c:v>7.23</c:v>
                </c:pt>
                <c:pt idx="193">
                  <c:v>4.71</c:v>
                </c:pt>
                <c:pt idx="194">
                  <c:v>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C9-40F3-9066-490232C96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59408"/>
        <c:axId val="767058328"/>
      </c:scatterChart>
      <c:valAx>
        <c:axId val="76705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058328"/>
        <c:crosses val="autoZero"/>
        <c:crossBetween val="midCat"/>
      </c:valAx>
      <c:valAx>
        <c:axId val="76705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Engagement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05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 .xlsx]Eng_sum_pivotchart!PivotTable13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Eng_sum_pivotchart!$B$46:$B$47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Eng_sum_pivotchart!$A$48:$A$50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Eng_sum_pivotchart!$B$48:$B$50</c:f>
              <c:numCache>
                <c:formatCode>General</c:formatCode>
                <c:ptCount val="2"/>
                <c:pt idx="0">
                  <c:v>23136</c:v>
                </c:pt>
                <c:pt idx="1">
                  <c:v>27263.25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4-4C19-ABC4-E26980421FB1}"/>
            </c:ext>
          </c:extLst>
        </c:ser>
        <c:ser>
          <c:idx val="1"/>
          <c:order val="1"/>
          <c:tx>
            <c:strRef>
              <c:f>Eng_sum_pivotchart!$C$46:$C$47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Eng_sum_pivotchart!$A$48:$A$50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Eng_sum_pivotchart!$C$48:$C$50</c:f>
              <c:numCache>
                <c:formatCode>General</c:formatCode>
                <c:ptCount val="2"/>
                <c:pt idx="0">
                  <c:v>23340.25</c:v>
                </c:pt>
                <c:pt idx="1">
                  <c:v>27539.75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54-4C19-ABC4-E26980421FB1}"/>
            </c:ext>
          </c:extLst>
        </c:ser>
        <c:ser>
          <c:idx val="2"/>
          <c:order val="2"/>
          <c:tx>
            <c:strRef>
              <c:f>Eng_sum_pivotchart!$D$46:$D$47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Eng_sum_pivotchart!$A$48:$A$50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Eng_sum_pivotchart!$D$48:$D$50</c:f>
              <c:numCache>
                <c:formatCode>General</c:formatCode>
                <c:ptCount val="2"/>
                <c:pt idx="0">
                  <c:v>24423.25</c:v>
                </c:pt>
                <c:pt idx="1">
                  <c:v>26929.166666666668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54-4C19-ABC4-E26980421F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751920"/>
        <c:axId val="776426720"/>
      </c:lineChart>
      <c:catAx>
        <c:axId val="76575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26720"/>
        <c:crosses val="autoZero"/>
        <c:auto val="1"/>
        <c:lblAlgn val="ctr"/>
        <c:lblOffset val="100"/>
        <c:noMultiLvlLbl val="0"/>
      </c:catAx>
      <c:valAx>
        <c:axId val="77642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45720</xdr:rowOff>
    </xdr:from>
    <xdr:to>
      <xdr:col>4</xdr:col>
      <xdr:colOff>701040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3238D-8624-A978-CDC0-D8DB8A85B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26670</xdr:rowOff>
    </xdr:from>
    <xdr:to>
      <xdr:col>4</xdr:col>
      <xdr:colOff>701040</xdr:colOff>
      <xdr:row>41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F76E7C-420F-9340-5AA5-1E45D63E1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</xdr:colOff>
      <xdr:row>47</xdr:row>
      <xdr:rowOff>41910</xdr:rowOff>
    </xdr:from>
    <xdr:to>
      <xdr:col>4</xdr:col>
      <xdr:colOff>701046</xdr:colOff>
      <xdr:row>62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5CA811-EC31-A536-918E-A33A856D9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29.475100810188" createdVersion="8" refreshedVersion="8" minRefreshableVersion="3" recordCount="200" xr:uid="{FCD05305-0E8B-4393-B6F7-8BD99650F7AB}">
  <cacheSource type="worksheet">
    <worksheetSource name="Table3"/>
  </cacheSource>
  <cacheFields count="13">
    <cacheField name="Week_Start_Date" numFmtId="16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2"/>
    </cacheField>
    <cacheField name="Platform" numFmtId="164">
      <sharedItems count="3">
        <s v="Instagram"/>
        <s v="Youtube"/>
        <s v="Twitter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Net_Follower_Gain" numFmtId="0">
      <sharedItems containsSemiMixedTypes="0" containsString="0" containsNumber="1" containsInteger="1" minValue="250" maxValue="1397"/>
    </cacheField>
    <cacheField name="Follower Growth Rate" numFmtId="2">
      <sharedItems containsSemiMixedTypes="0" containsString="0" containsNumber="1" minValue="7.9729048800556188E-2" maxValue="1.7836234485988602"/>
    </cacheField>
    <cacheField name="4-Week MA Follower Gain" numFmtId="2">
      <sharedItems containsString="0" containsBlank="1" containsNumber="1" minValue="427.25" maxValue="1195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29.47510127315" createdVersion="8" refreshedVersion="8" minRefreshableVersion="3" recordCount="483" xr:uid="{3DED00D2-D301-4372-AB4F-CC3D3CB2C022}">
  <cacheSource type="worksheet">
    <worksheetSource name="Table1_1"/>
  </cacheSource>
  <cacheFields count="15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 count="5">
        <s v="#SoundtrackOfLife"/>
        <s v="#NowPlaying"/>
        <s v="#DiscoverWeekly"/>
        <s v="#MusicForEveryone"/>
        <s v="#SpotifyWrapped"/>
      </sharedItems>
    </cacheField>
    <cacheField name="Campaign_Name" numFmtId="0">
      <sharedItems count="4">
        <s v="ChillVibes"/>
        <s v="IndieWave"/>
        <s v="Wrapped2024"/>
        <s v="SummerBeats"/>
      </sharedItems>
    </cacheField>
    <cacheField name="Engagement Rate" numFmtId="2">
      <sharedItems containsSemiMixedTypes="0" containsString="0" containsNumber="1" minValue="2.50275284149232E-2" maxValue="0.26064752360763155"/>
    </cacheField>
    <cacheField name="Click_Rank" numFmtId="0">
      <sharedItems containsSemiMixedTypes="0" containsString="0" containsNumber="1" containsInteger="1" minValue="1" maxValue="481"/>
    </cacheField>
  </cacheFields>
  <extLst>
    <ext xmlns:x14="http://schemas.microsoft.com/office/spreadsheetml/2009/9/main" uri="{725AE2AE-9491-48be-B2B4-4EB974FC3084}">
      <x14:pivotCacheDefinition pivotCacheId="2251360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  <n v="1334"/>
    <n v="1.0709526179733788"/>
    <m/>
  </r>
  <r>
    <x v="0"/>
    <x v="1"/>
    <n v="1472"/>
    <n v="296"/>
    <n v="370242"/>
    <n v="7.72"/>
    <n v="7810"/>
    <n v="1176"/>
    <n v="0.31763009058939828"/>
    <m/>
  </r>
  <r>
    <x v="0"/>
    <x v="2"/>
    <n v="995"/>
    <n v="86"/>
    <n v="227958"/>
    <n v="8.0500000000000007"/>
    <n v="22788"/>
    <n v="909"/>
    <n v="0.39875766588582107"/>
    <m/>
  </r>
  <r>
    <x v="1"/>
    <x v="2"/>
    <n v="1461"/>
    <n v="64"/>
    <n v="328902"/>
    <n v="9.02"/>
    <n v="26298"/>
    <n v="1397"/>
    <n v="0.42474658104845819"/>
    <m/>
  </r>
  <r>
    <x v="1"/>
    <x v="0"/>
    <n v="1018"/>
    <n v="90"/>
    <n v="92474"/>
    <n v="9.4"/>
    <n v="11966"/>
    <n v="928"/>
    <n v="1.0035253152237384"/>
    <m/>
  </r>
  <r>
    <x v="1"/>
    <x v="1"/>
    <n v="545"/>
    <n v="93"/>
    <n v="391621"/>
    <n v="9.9600000000000009"/>
    <n v="22029"/>
    <n v="452"/>
    <n v="0.11541771253329111"/>
    <m/>
  </r>
  <r>
    <x v="2"/>
    <x v="1"/>
    <n v="1472"/>
    <n v="170"/>
    <n v="250428"/>
    <n v="4.66"/>
    <n v="25040"/>
    <n v="1302"/>
    <n v="0.51990991422684363"/>
    <m/>
  </r>
  <r>
    <x v="2"/>
    <x v="2"/>
    <n v="1414"/>
    <n v="131"/>
    <n v="245947"/>
    <n v="8.3000000000000007"/>
    <n v="14477"/>
    <n v="1283"/>
    <n v="0.52165710498603357"/>
    <m/>
  </r>
  <r>
    <x v="2"/>
    <x v="0"/>
    <n v="881"/>
    <n v="291"/>
    <n v="95885"/>
    <n v="5.29"/>
    <n v="12391"/>
    <n v="590"/>
    <n v="0.61532043593888508"/>
    <m/>
  </r>
  <r>
    <x v="3"/>
    <x v="2"/>
    <n v="1371"/>
    <n v="250"/>
    <n v="128620"/>
    <n v="7.11"/>
    <n v="12399"/>
    <n v="1121"/>
    <n v="0.87155963302752304"/>
    <n v="1074"/>
  </r>
  <r>
    <x v="3"/>
    <x v="1"/>
    <n v="844"/>
    <n v="144"/>
    <n v="126015"/>
    <n v="9.65"/>
    <n v="22456"/>
    <n v="700"/>
    <n v="0.55548942586200056"/>
    <n v="923.5"/>
  </r>
  <r>
    <x v="3"/>
    <x v="0"/>
    <n v="809"/>
    <n v="197"/>
    <n v="87186"/>
    <n v="9.48"/>
    <n v="22619"/>
    <n v="612"/>
    <n v="0.70194756038813566"/>
    <n v="755.75"/>
  </r>
  <r>
    <x v="4"/>
    <x v="1"/>
    <n v="1218"/>
    <n v="101"/>
    <n v="300397"/>
    <n v="4.33"/>
    <n v="12277"/>
    <n v="1117"/>
    <n v="0.37184126339477425"/>
    <n v="887.5"/>
  </r>
  <r>
    <x v="4"/>
    <x v="0"/>
    <n v="786"/>
    <n v="72"/>
    <n v="178615"/>
    <n v="5.43"/>
    <n v="19328"/>
    <n v="714"/>
    <n v="0.39974246283906723"/>
    <n v="785.75"/>
  </r>
  <r>
    <x v="4"/>
    <x v="2"/>
    <n v="845"/>
    <n v="250"/>
    <n v="218228"/>
    <n v="4.5199999999999996"/>
    <n v="21107"/>
    <n v="595"/>
    <n v="0.27265062228494968"/>
    <n v="759.5"/>
  </r>
  <r>
    <x v="5"/>
    <x v="2"/>
    <n v="1471"/>
    <n v="100"/>
    <n v="76866"/>
    <n v="8.5500000000000007"/>
    <n v="14412"/>
    <n v="1371"/>
    <n v="1.7836234485988602"/>
    <n v="983"/>
  </r>
  <r>
    <x v="5"/>
    <x v="1"/>
    <n v="1253"/>
    <n v="136"/>
    <n v="193131"/>
    <n v="7.99"/>
    <n v="15924"/>
    <n v="1117"/>
    <n v="0.57836390843520724"/>
    <n v="949.25"/>
  </r>
  <r>
    <x v="5"/>
    <x v="0"/>
    <n v="797"/>
    <n v="130"/>
    <n v="340121"/>
    <n v="8.52"/>
    <n v="11684"/>
    <n v="667"/>
    <n v="0.19610667968164272"/>
    <n v="937.5"/>
  </r>
  <r>
    <x v="6"/>
    <x v="2"/>
    <n v="1308"/>
    <n v="210"/>
    <n v="263729"/>
    <n v="8.5299999999999994"/>
    <n v="25742"/>
    <n v="1098"/>
    <n v="0.41633646660018431"/>
    <n v="1063.25"/>
  </r>
  <r>
    <x v="6"/>
    <x v="1"/>
    <n v="981"/>
    <n v="69"/>
    <n v="206921"/>
    <n v="8.42"/>
    <n v="10495"/>
    <n v="912"/>
    <n v="0.44074791828765564"/>
    <n v="948.5"/>
  </r>
  <r>
    <x v="6"/>
    <x v="0"/>
    <n v="616"/>
    <n v="257"/>
    <n v="169665"/>
    <n v="6.31"/>
    <n v="12390"/>
    <n v="359"/>
    <n v="0.21159343412017798"/>
    <n v="759"/>
  </r>
  <r>
    <x v="7"/>
    <x v="1"/>
    <n v="1241"/>
    <n v="116"/>
    <n v="380606"/>
    <n v="4.2"/>
    <n v="24617"/>
    <n v="1125"/>
    <n v="0.29558125725816198"/>
    <n v="873.5"/>
  </r>
  <r>
    <x v="7"/>
    <x v="0"/>
    <n v="866"/>
    <n v="74"/>
    <n v="204121"/>
    <n v="9.34"/>
    <n v="7797"/>
    <n v="792"/>
    <n v="0.38800515380583089"/>
    <n v="797"/>
  </r>
  <r>
    <x v="7"/>
    <x v="2"/>
    <n v="547"/>
    <n v="183"/>
    <n v="266350"/>
    <n v="5.65"/>
    <n v="15595"/>
    <n v="364"/>
    <n v="0.13666228646517742"/>
    <n v="660"/>
  </r>
  <r>
    <x v="8"/>
    <x v="0"/>
    <n v="973"/>
    <n v="104"/>
    <n v="376358"/>
    <n v="3.87"/>
    <n v="9847"/>
    <n v="869"/>
    <n v="0.23089717768720205"/>
    <n v="787.5"/>
  </r>
  <r>
    <x v="8"/>
    <x v="1"/>
    <n v="983"/>
    <n v="134"/>
    <n v="352178"/>
    <n v="3.55"/>
    <n v="11421"/>
    <n v="849"/>
    <n v="0.24107127645679174"/>
    <n v="718.5"/>
  </r>
  <r>
    <x v="8"/>
    <x v="2"/>
    <n v="611"/>
    <n v="197"/>
    <n v="79423"/>
    <n v="5.82"/>
    <n v="13644"/>
    <n v="414"/>
    <n v="0.52125958475504575"/>
    <n v="624"/>
  </r>
  <r>
    <x v="9"/>
    <x v="0"/>
    <n v="1449"/>
    <n v="96"/>
    <n v="200636"/>
    <n v="9.92"/>
    <n v="15613"/>
    <n v="1353"/>
    <n v="0.67435554935305719"/>
    <n v="871.25"/>
  </r>
  <r>
    <x v="9"/>
    <x v="1"/>
    <n v="937"/>
    <n v="179"/>
    <n v="318098"/>
    <n v="5.3"/>
    <n v="5836"/>
    <n v="758"/>
    <n v="0.23829134417695177"/>
    <n v="843.5"/>
  </r>
  <r>
    <x v="9"/>
    <x v="2"/>
    <n v="752"/>
    <n v="170"/>
    <n v="132756"/>
    <n v="8.17"/>
    <n v="23900"/>
    <n v="582"/>
    <n v="0.43839826448522107"/>
    <n v="776.75"/>
  </r>
  <r>
    <x v="10"/>
    <x v="2"/>
    <n v="1456"/>
    <n v="265"/>
    <n v="115505"/>
    <n v="7.49"/>
    <n v="10311"/>
    <n v="1191"/>
    <n v="1.0311241937578459"/>
    <n v="971"/>
  </r>
  <r>
    <x v="10"/>
    <x v="0"/>
    <n v="1060"/>
    <n v="83"/>
    <n v="68724"/>
    <n v="5.98"/>
    <n v="5624"/>
    <n v="977"/>
    <n v="1.4216285431581397"/>
    <n v="877"/>
  </r>
  <r>
    <x v="10"/>
    <x v="1"/>
    <n v="1109"/>
    <n v="205"/>
    <n v="276722"/>
    <n v="9.3800000000000008"/>
    <n v="8274"/>
    <n v="904"/>
    <n v="0.32668165162148294"/>
    <n v="913.5"/>
  </r>
  <r>
    <x v="11"/>
    <x v="1"/>
    <n v="1240"/>
    <n v="231"/>
    <n v="165035"/>
    <n v="6.05"/>
    <n v="18267"/>
    <n v="1009"/>
    <n v="0.6113854636895204"/>
    <n v="1020.25"/>
  </r>
  <r>
    <x v="11"/>
    <x v="0"/>
    <n v="1002"/>
    <n v="93"/>
    <n v="353538"/>
    <n v="5.84"/>
    <n v="6031"/>
    <n v="909"/>
    <n v="0.25711521816608118"/>
    <n v="949.75"/>
  </r>
  <r>
    <x v="11"/>
    <x v="2"/>
    <n v="571"/>
    <n v="189"/>
    <n v="61445"/>
    <n v="5.41"/>
    <n v="27829"/>
    <n v="382"/>
    <n v="0.62169419806330861"/>
    <n v="801"/>
  </r>
  <r>
    <x v="12"/>
    <x v="1"/>
    <n v="1456"/>
    <n v="290"/>
    <n v="271044"/>
    <n v="7.17"/>
    <n v="13051"/>
    <n v="1166"/>
    <n v="0.43018845648676968"/>
    <n v="866.5"/>
  </r>
  <r>
    <x v="12"/>
    <x v="0"/>
    <n v="1154"/>
    <n v="132"/>
    <n v="194595"/>
    <n v="7.54"/>
    <n v="26624"/>
    <n v="1022"/>
    <n v="0.52519335029163128"/>
    <n v="869.75"/>
  </r>
  <r>
    <x v="12"/>
    <x v="2"/>
    <n v="537"/>
    <n v="275"/>
    <n v="236238"/>
    <n v="5.87"/>
    <n v="26644"/>
    <n v="262"/>
    <n v="0.11090510417460359"/>
    <n v="708"/>
  </r>
  <r>
    <x v="13"/>
    <x v="1"/>
    <n v="1096"/>
    <n v="65"/>
    <n v="358295"/>
    <n v="7.66"/>
    <n v="24548"/>
    <n v="1031"/>
    <n v="0.28775171297394603"/>
    <n v="870.25"/>
  </r>
  <r>
    <x v="13"/>
    <x v="2"/>
    <n v="1098"/>
    <n v="142"/>
    <n v="359150"/>
    <n v="7.51"/>
    <n v="16385"/>
    <n v="956"/>
    <n v="0.26618404566337184"/>
    <n v="817.75"/>
  </r>
  <r>
    <x v="13"/>
    <x v="0"/>
    <n v="721"/>
    <n v="206"/>
    <n v="334887"/>
    <n v="6.05"/>
    <n v="14217"/>
    <n v="515"/>
    <n v="0.15378321642822804"/>
    <n v="691"/>
  </r>
  <r>
    <x v="14"/>
    <x v="2"/>
    <n v="1430"/>
    <n v="162"/>
    <n v="269082"/>
    <n v="3.4"/>
    <n v="18071"/>
    <n v="1268"/>
    <n v="0.47123181781018425"/>
    <n v="942.5"/>
  </r>
  <r>
    <x v="14"/>
    <x v="1"/>
    <n v="854"/>
    <n v="129"/>
    <n v="310903"/>
    <n v="7.83"/>
    <n v="16875"/>
    <n v="725"/>
    <n v="0.23319170287838972"/>
    <n v="866"/>
  </r>
  <r>
    <x v="14"/>
    <x v="0"/>
    <n v="912"/>
    <n v="275"/>
    <n v="368454"/>
    <n v="6.03"/>
    <n v="9195"/>
    <n v="637"/>
    <n v="0.1728845391826388"/>
    <n v="786.25"/>
  </r>
  <r>
    <x v="15"/>
    <x v="2"/>
    <n v="1373"/>
    <n v="82"/>
    <n v="371015"/>
    <n v="9.52"/>
    <n v="20306"/>
    <n v="1291"/>
    <n v="0.34796436801746561"/>
    <n v="980.25"/>
  </r>
  <r>
    <x v="15"/>
    <x v="0"/>
    <n v="681"/>
    <n v="210"/>
    <n v="248581"/>
    <n v="8.76"/>
    <n v="9567"/>
    <n v="471"/>
    <n v="0.18947546272643526"/>
    <n v="781"/>
  </r>
  <r>
    <x v="15"/>
    <x v="1"/>
    <n v="685"/>
    <n v="285"/>
    <n v="177452"/>
    <n v="3.36"/>
    <n v="21134"/>
    <n v="400"/>
    <n v="0.22541306944976669"/>
    <n v="699.75"/>
  </r>
  <r>
    <x v="16"/>
    <x v="2"/>
    <n v="1437"/>
    <n v="239"/>
    <n v="362441"/>
    <n v="5.57"/>
    <n v="10253"/>
    <n v="1198"/>
    <n v="0.33053655629467971"/>
    <n v="840"/>
  </r>
  <r>
    <x v="16"/>
    <x v="0"/>
    <n v="1290"/>
    <n v="177"/>
    <n v="80745"/>
    <n v="9.2200000000000006"/>
    <n v="26872"/>
    <n v="1113"/>
    <n v="1.3784135240572171"/>
    <n v="795.5"/>
  </r>
  <r>
    <x v="16"/>
    <x v="1"/>
    <n v="769"/>
    <n v="295"/>
    <n v="344771"/>
    <n v="8.06"/>
    <n v="23963"/>
    <n v="474"/>
    <n v="0.13748256088824176"/>
    <n v="796.25"/>
  </r>
  <r>
    <x v="17"/>
    <x v="1"/>
    <n v="1421"/>
    <n v="246"/>
    <n v="358581"/>
    <n v="8.8800000000000008"/>
    <n v="24358"/>
    <n v="1175"/>
    <n v="0.3276804961779905"/>
    <n v="990"/>
  </r>
  <r>
    <x v="17"/>
    <x v="0"/>
    <n v="1416"/>
    <n v="284"/>
    <n v="374952"/>
    <n v="3.45"/>
    <n v="11335"/>
    <n v="1132"/>
    <n v="0.30190531054641656"/>
    <n v="973.5"/>
  </r>
  <r>
    <x v="17"/>
    <x v="2"/>
    <n v="998"/>
    <n v="154"/>
    <n v="179781"/>
    <n v="9.58"/>
    <n v="12115"/>
    <n v="844"/>
    <n v="0.46946006530167261"/>
    <n v="906.25"/>
  </r>
  <r>
    <x v="18"/>
    <x v="1"/>
    <n v="1328"/>
    <n v="103"/>
    <n v="151462"/>
    <n v="8.4"/>
    <n v="10881"/>
    <n v="1225"/>
    <n v="0.80878372132944243"/>
    <n v="1094"/>
  </r>
  <r>
    <x v="18"/>
    <x v="0"/>
    <n v="764"/>
    <n v="205"/>
    <n v="319294"/>
    <n v="6.23"/>
    <n v="12181"/>
    <n v="559"/>
    <n v="0.17507375647522347"/>
    <n v="940"/>
  </r>
  <r>
    <x v="18"/>
    <x v="2"/>
    <n v="678"/>
    <n v="124"/>
    <n v="192022"/>
    <n v="8.4499999999999993"/>
    <n v="17729"/>
    <n v="554"/>
    <n v="0.28850860838862213"/>
    <n v="795.5"/>
  </r>
  <r>
    <x v="19"/>
    <x v="1"/>
    <n v="1457"/>
    <n v="215"/>
    <n v="325325"/>
    <n v="9.58"/>
    <n v="14178"/>
    <n v="1242"/>
    <n v="0.38177207407976638"/>
    <n v="895"/>
  </r>
  <r>
    <x v="19"/>
    <x v="0"/>
    <n v="1161"/>
    <n v="269"/>
    <n v="188193"/>
    <n v="7.34"/>
    <n v="18576"/>
    <n v="892"/>
    <n v="0.47398149771776843"/>
    <n v="811.75"/>
  </r>
  <r>
    <x v="19"/>
    <x v="2"/>
    <n v="588"/>
    <n v="52"/>
    <n v="292040"/>
    <n v="8.14"/>
    <n v="9383"/>
    <n v="536"/>
    <n v="0.18353650184906178"/>
    <n v="806"/>
  </r>
  <r>
    <x v="20"/>
    <x v="1"/>
    <n v="1237"/>
    <n v="155"/>
    <n v="149916"/>
    <n v="4.4800000000000004"/>
    <n v="16921"/>
    <n v="1082"/>
    <n v="0.72173750633688194"/>
    <n v="938"/>
  </r>
  <r>
    <x v="20"/>
    <x v="0"/>
    <n v="1190"/>
    <n v="242"/>
    <n v="86849"/>
    <n v="8.06"/>
    <n v="21254"/>
    <n v="948"/>
    <n v="1.0915497012055406"/>
    <n v="864.5"/>
  </r>
  <r>
    <x v="20"/>
    <x v="2"/>
    <n v="886"/>
    <n v="124"/>
    <n v="141161"/>
    <n v="8.19"/>
    <n v="14215"/>
    <n v="762"/>
    <n v="0.53980915408646857"/>
    <n v="832"/>
  </r>
  <r>
    <x v="21"/>
    <x v="0"/>
    <n v="1435"/>
    <n v="261"/>
    <n v="308533"/>
    <n v="4.5199999999999996"/>
    <n v="25130"/>
    <n v="1174"/>
    <n v="0.38051035059458793"/>
    <n v="991.5"/>
  </r>
  <r>
    <x v="21"/>
    <x v="1"/>
    <n v="759"/>
    <n v="216"/>
    <n v="147656"/>
    <n v="4.08"/>
    <n v="24943"/>
    <n v="543"/>
    <n v="0.36774665438586984"/>
    <n v="856.75"/>
  </r>
  <r>
    <x v="21"/>
    <x v="2"/>
    <n v="746"/>
    <n v="282"/>
    <n v="293894"/>
    <n v="5.42"/>
    <n v="25537"/>
    <n v="464"/>
    <n v="0.15788005199153438"/>
    <n v="735.75"/>
  </r>
  <r>
    <x v="22"/>
    <x v="2"/>
    <n v="1463"/>
    <n v="73"/>
    <n v="348877"/>
    <n v="9.91"/>
    <n v="26273"/>
    <n v="1390"/>
    <n v="0.39842122008616215"/>
    <n v="799"/>
  </r>
  <r>
    <x v="22"/>
    <x v="0"/>
    <n v="1437"/>
    <n v="235"/>
    <n v="326791"/>
    <n v="4.0599999999999996"/>
    <n v="14563"/>
    <n v="1202"/>
    <n v="0.36781918718691764"/>
    <n v="899.75"/>
  </r>
  <r>
    <x v="22"/>
    <x v="1"/>
    <n v="1208"/>
    <n v="224"/>
    <n v="122730"/>
    <n v="8.7200000000000006"/>
    <n v="10858"/>
    <n v="984"/>
    <n v="0.80175996088975798"/>
    <n v="1010"/>
  </r>
  <r>
    <x v="23"/>
    <x v="0"/>
    <n v="1391"/>
    <n v="187"/>
    <n v="306508"/>
    <n v="8.3800000000000008"/>
    <n v="25038"/>
    <n v="1204"/>
    <n v="0.39281193313061974"/>
    <n v="1195"/>
  </r>
  <r>
    <x v="23"/>
    <x v="1"/>
    <n v="1148"/>
    <n v="90"/>
    <n v="227249"/>
    <n v="7.24"/>
    <n v="17662"/>
    <n v="1058"/>
    <n v="0.46556860536239986"/>
    <n v="1112"/>
  </r>
  <r>
    <x v="23"/>
    <x v="2"/>
    <n v="655"/>
    <n v="123"/>
    <n v="202472"/>
    <n v="7.56"/>
    <n v="9092"/>
    <n v="532"/>
    <n v="0.26275238057607969"/>
    <n v="944.5"/>
  </r>
  <r>
    <x v="24"/>
    <x v="1"/>
    <n v="793"/>
    <n v="111"/>
    <n v="333500"/>
    <n v="6.36"/>
    <n v="8910"/>
    <n v="682"/>
    <n v="0.2044977511244378"/>
    <n v="869"/>
  </r>
  <r>
    <x v="24"/>
    <x v="0"/>
    <n v="946"/>
    <n v="270"/>
    <n v="246567"/>
    <n v="4.53"/>
    <n v="5924"/>
    <n v="676"/>
    <n v="0.27416483146568682"/>
    <n v="737"/>
  </r>
  <r>
    <x v="24"/>
    <x v="2"/>
    <n v="791"/>
    <n v="214"/>
    <n v="114738"/>
    <n v="6.62"/>
    <n v="25347"/>
    <n v="577"/>
    <n v="0.5028848332723248"/>
    <n v="616.75"/>
  </r>
  <r>
    <x v="25"/>
    <x v="1"/>
    <n v="1313"/>
    <n v="159"/>
    <n v="197183"/>
    <n v="9.7100000000000009"/>
    <n v="6625"/>
    <n v="1154"/>
    <n v="0.58524314976443204"/>
    <n v="772.25"/>
  </r>
  <r>
    <x v="25"/>
    <x v="2"/>
    <n v="954"/>
    <n v="271"/>
    <n v="160936"/>
    <n v="8.83"/>
    <n v="8760"/>
    <n v="683"/>
    <n v="0.42439230501565839"/>
    <n v="772.5"/>
  </r>
  <r>
    <x v="25"/>
    <x v="0"/>
    <n v="663"/>
    <n v="213"/>
    <n v="352677"/>
    <n v="9"/>
    <n v="20438"/>
    <n v="450"/>
    <n v="0.1275955052356689"/>
    <n v="716"/>
  </r>
  <r>
    <x v="26"/>
    <x v="2"/>
    <n v="1027"/>
    <n v="156"/>
    <n v="111293"/>
    <n v="5.51"/>
    <n v="7299"/>
    <n v="871"/>
    <n v="0.78261885293774092"/>
    <n v="789.5"/>
  </r>
  <r>
    <x v="26"/>
    <x v="0"/>
    <n v="895"/>
    <n v="87"/>
    <n v="171271"/>
    <n v="6.68"/>
    <n v="23329"/>
    <n v="808"/>
    <n v="0.47176696580273364"/>
    <n v="703"/>
  </r>
  <r>
    <x v="26"/>
    <x v="1"/>
    <n v="990"/>
    <n v="286"/>
    <n v="351493"/>
    <n v="7.97"/>
    <n v="14496"/>
    <n v="704"/>
    <n v="0.20028848369668811"/>
    <n v="708.25"/>
  </r>
  <r>
    <x v="27"/>
    <x v="0"/>
    <n v="875"/>
    <n v="264"/>
    <n v="345631"/>
    <n v="9.18"/>
    <n v="25703"/>
    <n v="611"/>
    <n v="0.17677812464738407"/>
    <n v="748.5"/>
  </r>
  <r>
    <x v="27"/>
    <x v="2"/>
    <n v="599"/>
    <n v="194"/>
    <n v="105622"/>
    <n v="6.44"/>
    <n v="15108"/>
    <n v="405"/>
    <n v="0.38344284334702994"/>
    <n v="632"/>
  </r>
  <r>
    <x v="27"/>
    <x v="1"/>
    <n v="630"/>
    <n v="248"/>
    <n v="119054"/>
    <n v="5.0199999999999996"/>
    <n v="18867"/>
    <n v="382"/>
    <n v="0.32086280175382598"/>
    <n v="525.5"/>
  </r>
  <r>
    <x v="28"/>
    <x v="0"/>
    <n v="1350"/>
    <n v="233"/>
    <n v="171670"/>
    <n v="4.53"/>
    <n v="17574"/>
    <n v="1117"/>
    <n v="0.65066697734024581"/>
    <n v="628.75"/>
  </r>
  <r>
    <x v="28"/>
    <x v="1"/>
    <n v="1182"/>
    <n v="83"/>
    <n v="140300"/>
    <n v="3.27"/>
    <n v="21079"/>
    <n v="1099"/>
    <n v="0.78332145402708486"/>
    <n v="750.75"/>
  </r>
  <r>
    <x v="28"/>
    <x v="2"/>
    <n v="632"/>
    <n v="155"/>
    <n v="170432"/>
    <n v="9.17"/>
    <n v="12840"/>
    <n v="477"/>
    <n v="0.27987701840030044"/>
    <n v="768.75"/>
  </r>
  <r>
    <x v="29"/>
    <x v="2"/>
    <n v="1360"/>
    <n v="227"/>
    <n v="176902"/>
    <n v="6.03"/>
    <n v="5960"/>
    <n v="1133"/>
    <n v="0.64046760353189902"/>
    <n v="956.5"/>
  </r>
  <r>
    <x v="29"/>
    <x v="1"/>
    <n v="935"/>
    <n v="85"/>
    <n v="326821"/>
    <n v="8.89"/>
    <n v="13301"/>
    <n v="850"/>
    <n v="0.260081206532016"/>
    <n v="889.75"/>
  </r>
  <r>
    <x v="29"/>
    <x v="0"/>
    <n v="661"/>
    <n v="94"/>
    <n v="116538"/>
    <n v="5.31"/>
    <n v="23486"/>
    <n v="567"/>
    <n v="0.48653658034289238"/>
    <n v="756.75"/>
  </r>
  <r>
    <x v="30"/>
    <x v="2"/>
    <n v="1490"/>
    <n v="103"/>
    <n v="373274"/>
    <n v="4.8"/>
    <n v="19949"/>
    <n v="1387"/>
    <n v="0.37157691133055076"/>
    <n v="984.25"/>
  </r>
  <r>
    <x v="30"/>
    <x v="1"/>
    <n v="601"/>
    <n v="64"/>
    <n v="123272"/>
    <n v="4.07"/>
    <n v="14273"/>
    <n v="537"/>
    <n v="0.43562203906807706"/>
    <n v="835.25"/>
  </r>
  <r>
    <x v="30"/>
    <x v="0"/>
    <n v="664"/>
    <n v="251"/>
    <n v="240598"/>
    <n v="4.79"/>
    <n v="10563"/>
    <n v="413"/>
    <n v="0.17165562473503521"/>
    <n v="726"/>
  </r>
  <r>
    <x v="31"/>
    <x v="2"/>
    <n v="1340"/>
    <n v="57"/>
    <n v="155927"/>
    <n v="7.79"/>
    <n v="11972"/>
    <n v="1283"/>
    <n v="0.82282093543773693"/>
    <n v="905"/>
  </r>
  <r>
    <x v="31"/>
    <x v="1"/>
    <n v="953"/>
    <n v="228"/>
    <n v="258398"/>
    <n v="9.0500000000000007"/>
    <n v="13314"/>
    <n v="725"/>
    <n v="0.28057492705051895"/>
    <n v="739.5"/>
  </r>
  <r>
    <x v="31"/>
    <x v="0"/>
    <n v="613"/>
    <n v="170"/>
    <n v="139266"/>
    <n v="6.06"/>
    <n v="9247"/>
    <n v="443"/>
    <n v="0.31809630491290047"/>
    <n v="716"/>
  </r>
  <r>
    <x v="32"/>
    <x v="2"/>
    <n v="1414"/>
    <n v="60"/>
    <n v="341856"/>
    <n v="8.76"/>
    <n v="6868"/>
    <n v="1354"/>
    <n v="0.39607320041186933"/>
    <n v="951.25"/>
  </r>
  <r>
    <x v="32"/>
    <x v="1"/>
    <n v="685"/>
    <n v="165"/>
    <n v="175860"/>
    <n v="6.26"/>
    <n v="6027"/>
    <n v="520"/>
    <n v="0.2956897532127829"/>
    <n v="760.5"/>
  </r>
  <r>
    <x v="32"/>
    <x v="0"/>
    <n v="532"/>
    <n v="65"/>
    <n v="338561"/>
    <n v="3.5"/>
    <n v="14749"/>
    <n v="467"/>
    <n v="0.137936738135816"/>
    <n v="696"/>
  </r>
  <r>
    <x v="33"/>
    <x v="1"/>
    <n v="1105"/>
    <n v="261"/>
    <n v="333851"/>
    <n v="6.03"/>
    <n v="11181"/>
    <n v="844"/>
    <n v="0.2528073901231388"/>
    <n v="796.25"/>
  </r>
  <r>
    <x v="33"/>
    <x v="2"/>
    <n v="841"/>
    <n v="295"/>
    <n v="271638"/>
    <n v="9.15"/>
    <n v="5900"/>
    <n v="546"/>
    <n v="0.20100280520398472"/>
    <n v="594.25"/>
  </r>
  <r>
    <x v="33"/>
    <x v="0"/>
    <n v="601"/>
    <n v="159"/>
    <n v="327722"/>
    <n v="3.33"/>
    <n v="25267"/>
    <n v="442"/>
    <n v="0.13487040845594742"/>
    <n v="574.75"/>
  </r>
  <r>
    <x v="34"/>
    <x v="2"/>
    <n v="1149"/>
    <n v="280"/>
    <n v="167310"/>
    <n v="3.7"/>
    <n v="5291"/>
    <n v="869"/>
    <n v="0.51939513477975008"/>
    <n v="675.25"/>
  </r>
  <r>
    <x v="34"/>
    <x v="1"/>
    <n v="819"/>
    <n v="101"/>
    <n v="194811"/>
    <n v="3.35"/>
    <n v="22244"/>
    <n v="718"/>
    <n v="0.36856235017529809"/>
    <n v="643.75"/>
  </r>
  <r>
    <x v="34"/>
    <x v="0"/>
    <n v="566"/>
    <n v="225"/>
    <n v="368984"/>
    <n v="9.82"/>
    <n v="9592"/>
    <n v="341"/>
    <n v="9.2415931314094923E-2"/>
    <n v="592.5"/>
  </r>
  <r>
    <x v="35"/>
    <x v="0"/>
    <n v="795"/>
    <n v="60"/>
    <n v="314982"/>
    <n v="7.31"/>
    <n v="6824"/>
    <n v="735"/>
    <n v="0.23334666742861496"/>
    <n v="665.75"/>
  </r>
  <r>
    <x v="35"/>
    <x v="2"/>
    <n v="681"/>
    <n v="158"/>
    <n v="75960"/>
    <n v="3.13"/>
    <n v="24112"/>
    <n v="523"/>
    <n v="0.6885202738283307"/>
    <n v="579.25"/>
  </r>
  <r>
    <x v="35"/>
    <x v="1"/>
    <n v="534"/>
    <n v="112"/>
    <n v="360759"/>
    <n v="4.8899999999999997"/>
    <n v="25478"/>
    <n v="422"/>
    <n v="0.11697559866836309"/>
    <n v="505.25"/>
  </r>
  <r>
    <x v="36"/>
    <x v="2"/>
    <n v="1270"/>
    <n v="162"/>
    <n v="92040"/>
    <n v="8.0299999999999994"/>
    <n v="6120"/>
    <n v="1108"/>
    <n v="1.2038244241634073"/>
    <n v="697"/>
  </r>
  <r>
    <x v="36"/>
    <x v="0"/>
    <n v="1066"/>
    <n v="151"/>
    <n v="297090"/>
    <n v="8.6300000000000008"/>
    <n v="11235"/>
    <n v="915"/>
    <n v="0.30798747854185599"/>
    <n v="742"/>
  </r>
  <r>
    <x v="36"/>
    <x v="1"/>
    <n v="536"/>
    <n v="198"/>
    <n v="174610"/>
    <n v="7.85"/>
    <n v="20572"/>
    <n v="338"/>
    <n v="0.19357425118836263"/>
    <n v="695.75"/>
  </r>
  <r>
    <x v="37"/>
    <x v="0"/>
    <n v="819"/>
    <n v="95"/>
    <n v="177376"/>
    <n v="6.12"/>
    <n v="14975"/>
    <n v="724"/>
    <n v="0.40817246978170663"/>
    <n v="771.25"/>
  </r>
  <r>
    <x v="37"/>
    <x v="2"/>
    <n v="681"/>
    <n v="218"/>
    <n v="198882"/>
    <n v="7.16"/>
    <n v="22234"/>
    <n v="463"/>
    <n v="0.23280135960016493"/>
    <n v="610"/>
  </r>
  <r>
    <x v="37"/>
    <x v="1"/>
    <n v="646"/>
    <n v="290"/>
    <n v="336383"/>
    <n v="7.04"/>
    <n v="6532"/>
    <n v="356"/>
    <n v="0.10583174536168594"/>
    <n v="470.25"/>
  </r>
  <r>
    <x v="38"/>
    <x v="1"/>
    <n v="978"/>
    <n v="279"/>
    <n v="368872"/>
    <n v="6.82"/>
    <n v="18654"/>
    <n v="699"/>
    <n v="0.18949662755644234"/>
    <n v="560.5"/>
  </r>
  <r>
    <x v="38"/>
    <x v="2"/>
    <n v="886"/>
    <n v="250"/>
    <n v="168170"/>
    <n v="4.12"/>
    <n v="13883"/>
    <n v="636"/>
    <n v="0.37818873758696553"/>
    <n v="538.5"/>
  </r>
  <r>
    <x v="38"/>
    <x v="0"/>
    <n v="645"/>
    <n v="267"/>
    <n v="346890"/>
    <n v="3.71"/>
    <n v="24858"/>
    <n v="378"/>
    <n v="0.10896826083196401"/>
    <n v="517.25"/>
  </r>
  <r>
    <x v="39"/>
    <x v="0"/>
    <n v="1444"/>
    <n v="165"/>
    <n v="116436"/>
    <n v="8.2200000000000006"/>
    <n v="25234"/>
    <n v="1279"/>
    <n v="1.0984575217286749"/>
    <n v="748"/>
  </r>
  <r>
    <x v="39"/>
    <x v="2"/>
    <n v="1234"/>
    <n v="228"/>
    <n v="127502"/>
    <n v="7.71"/>
    <n v="6772"/>
    <n v="1006"/>
    <n v="0.78900723125911754"/>
    <n v="824.75"/>
  </r>
  <r>
    <x v="39"/>
    <x v="1"/>
    <n v="665"/>
    <n v="187"/>
    <n v="274567"/>
    <n v="7.39"/>
    <n v="22428"/>
    <n v="478"/>
    <n v="0.17409229805475532"/>
    <n v="785.25"/>
  </r>
  <r>
    <x v="40"/>
    <x v="2"/>
    <n v="1159"/>
    <n v="154"/>
    <n v="194994"/>
    <n v="6.39"/>
    <n v="21900"/>
    <n v="1005"/>
    <n v="0.51540047386073418"/>
    <n v="942"/>
  </r>
  <r>
    <x v="40"/>
    <x v="1"/>
    <n v="950"/>
    <n v="185"/>
    <n v="340750"/>
    <n v="6.77"/>
    <n v="25542"/>
    <n v="765"/>
    <n v="0.22450476889214968"/>
    <n v="813.5"/>
  </r>
  <r>
    <x v="40"/>
    <x v="0"/>
    <n v="631"/>
    <n v="86"/>
    <n v="295090"/>
    <n v="7.89"/>
    <n v="11911"/>
    <n v="545"/>
    <n v="0.18468941678809855"/>
    <n v="698.25"/>
  </r>
  <r>
    <x v="41"/>
    <x v="1"/>
    <n v="1274"/>
    <n v="146"/>
    <n v="263488"/>
    <n v="9.58"/>
    <n v="8698"/>
    <n v="1128"/>
    <n v="0.42810298761233906"/>
    <n v="860.75"/>
  </r>
  <r>
    <x v="41"/>
    <x v="0"/>
    <n v="693"/>
    <n v="129"/>
    <n v="296031"/>
    <n v="3.41"/>
    <n v="7140"/>
    <n v="564"/>
    <n v="0.19052058737091723"/>
    <n v="750.5"/>
  </r>
  <r>
    <x v="41"/>
    <x v="2"/>
    <n v="576"/>
    <n v="80"/>
    <n v="345688"/>
    <n v="4.1100000000000003"/>
    <n v="20474"/>
    <n v="496"/>
    <n v="0.14348198375413668"/>
    <n v="683.25"/>
  </r>
  <r>
    <x v="42"/>
    <x v="1"/>
    <n v="1398"/>
    <n v="97"/>
    <n v="397607"/>
    <n v="5.09"/>
    <n v="7975"/>
    <n v="1301"/>
    <n v="0.32720751898231165"/>
    <n v="872.25"/>
  </r>
  <r>
    <x v="42"/>
    <x v="2"/>
    <n v="975"/>
    <n v="162"/>
    <n v="124497"/>
    <n v="9.58"/>
    <n v="26618"/>
    <n v="813"/>
    <n v="0.65302778380201931"/>
    <n v="793.5"/>
  </r>
  <r>
    <x v="42"/>
    <x v="0"/>
    <n v="818"/>
    <n v="253"/>
    <n v="184911"/>
    <n v="3.39"/>
    <n v="10402"/>
    <n v="565"/>
    <n v="0.30555240088474994"/>
    <n v="793.75"/>
  </r>
  <r>
    <x v="43"/>
    <x v="1"/>
    <n v="1425"/>
    <n v="58"/>
    <n v="202234"/>
    <n v="6.67"/>
    <n v="18442"/>
    <n v="1367"/>
    <n v="0.67594964249334932"/>
    <n v="1011.5"/>
  </r>
  <r>
    <x v="43"/>
    <x v="2"/>
    <n v="1232"/>
    <n v="254"/>
    <n v="107718"/>
    <n v="9.7100000000000009"/>
    <n v="13740"/>
    <n v="978"/>
    <n v="0.90792625187990861"/>
    <n v="930.75"/>
  </r>
  <r>
    <x v="43"/>
    <x v="0"/>
    <n v="591"/>
    <n v="155"/>
    <n v="138521"/>
    <n v="7.85"/>
    <n v="19054"/>
    <n v="436"/>
    <n v="0.31475371965261584"/>
    <n v="836.5"/>
  </r>
  <r>
    <x v="44"/>
    <x v="0"/>
    <n v="1417"/>
    <n v="80"/>
    <n v="340987"/>
    <n v="6.13"/>
    <n v="10104"/>
    <n v="1337"/>
    <n v="0.3920970594186875"/>
    <n v="1029.5"/>
  </r>
  <r>
    <x v="44"/>
    <x v="2"/>
    <n v="1222"/>
    <n v="208"/>
    <n v="340098"/>
    <n v="7.34"/>
    <n v="21771"/>
    <n v="1014"/>
    <n v="0.29814935695005557"/>
    <n v="941.25"/>
  </r>
  <r>
    <x v="44"/>
    <x v="1"/>
    <n v="1071"/>
    <n v="131"/>
    <n v="254727"/>
    <n v="6.87"/>
    <n v="22191"/>
    <n v="940"/>
    <n v="0.36902252215116577"/>
    <n v="931.75"/>
  </r>
  <r>
    <x v="45"/>
    <x v="2"/>
    <n v="1472"/>
    <n v="137"/>
    <n v="213950"/>
    <n v="6.96"/>
    <n v="23736"/>
    <n v="1335"/>
    <n v="0.62397756485160083"/>
    <n v="1156.5"/>
  </r>
  <r>
    <x v="45"/>
    <x v="1"/>
    <n v="1472"/>
    <n v="281"/>
    <n v="258115"/>
    <n v="7.23"/>
    <n v="27393"/>
    <n v="1191"/>
    <n v="0.46142223427541984"/>
    <n v="1120"/>
  </r>
  <r>
    <x v="45"/>
    <x v="0"/>
    <n v="772"/>
    <n v="82"/>
    <n v="345659"/>
    <n v="3.52"/>
    <n v="27753"/>
    <n v="690"/>
    <n v="0.19961869935398757"/>
    <n v="1039"/>
  </r>
  <r>
    <x v="46"/>
    <x v="1"/>
    <n v="1113"/>
    <n v="224"/>
    <n v="272989"/>
    <n v="5.13"/>
    <n v="24827"/>
    <n v="889"/>
    <n v="0.32565414723670183"/>
    <n v="1026.25"/>
  </r>
  <r>
    <x v="46"/>
    <x v="2"/>
    <n v="747"/>
    <n v="261"/>
    <n v="338650"/>
    <n v="7.73"/>
    <n v="25259"/>
    <n v="486"/>
    <n v="0.14351099955706481"/>
    <n v="814"/>
  </r>
  <r>
    <x v="46"/>
    <x v="0"/>
    <n v="585"/>
    <n v="232"/>
    <n v="321258"/>
    <n v="7.42"/>
    <n v="10343"/>
    <n v="353"/>
    <n v="0.10988053215795404"/>
    <n v="604.5"/>
  </r>
  <r>
    <x v="47"/>
    <x v="0"/>
    <n v="1100"/>
    <n v="117"/>
    <n v="260204"/>
    <n v="4.4000000000000004"/>
    <n v="11908"/>
    <n v="983"/>
    <n v="0.37778051067623863"/>
    <n v="677.75"/>
  </r>
  <r>
    <x v="47"/>
    <x v="1"/>
    <n v="864"/>
    <n v="50"/>
    <n v="277445"/>
    <n v="3.57"/>
    <n v="26333"/>
    <n v="814"/>
    <n v="0.29339148299662998"/>
    <n v="659"/>
  </r>
  <r>
    <x v="47"/>
    <x v="2"/>
    <n v="751"/>
    <n v="170"/>
    <n v="283278"/>
    <n v="3.49"/>
    <n v="11005"/>
    <n v="581"/>
    <n v="0.20509887813384731"/>
    <n v="682.75"/>
  </r>
  <r>
    <x v="48"/>
    <x v="0"/>
    <n v="1146"/>
    <n v="227"/>
    <n v="353781"/>
    <n v="6.41"/>
    <n v="5495"/>
    <n v="919"/>
    <n v="0.25976522198761381"/>
    <n v="824.25"/>
  </r>
  <r>
    <x v="48"/>
    <x v="2"/>
    <n v="883"/>
    <n v="207"/>
    <n v="265019"/>
    <n v="6.04"/>
    <n v="15655"/>
    <n v="676"/>
    <n v="0.25507605115104953"/>
    <n v="747.5"/>
  </r>
  <r>
    <x v="48"/>
    <x v="1"/>
    <n v="622"/>
    <n v="163"/>
    <n v="231925"/>
    <n v="9.18"/>
    <n v="13763"/>
    <n v="459"/>
    <n v="0.19790880672631239"/>
    <n v="658.75"/>
  </r>
  <r>
    <x v="49"/>
    <x v="0"/>
    <n v="837"/>
    <n v="261"/>
    <n v="366149"/>
    <n v="6.54"/>
    <n v="26073"/>
    <n v="576"/>
    <n v="0.15731300645365684"/>
    <n v="657.5"/>
  </r>
  <r>
    <x v="49"/>
    <x v="2"/>
    <n v="544"/>
    <n v="97"/>
    <n v="168375"/>
    <n v="8.66"/>
    <n v="12774"/>
    <n v="447"/>
    <n v="0.26547884187082404"/>
    <n v="539.5"/>
  </r>
  <r>
    <x v="49"/>
    <x v="1"/>
    <n v="624"/>
    <n v="247"/>
    <n v="252763"/>
    <n v="3.89"/>
    <n v="19000"/>
    <n v="377"/>
    <n v="0.1491515767734993"/>
    <n v="464.75"/>
  </r>
  <r>
    <x v="50"/>
    <x v="2"/>
    <n v="1430"/>
    <n v="74"/>
    <n v="327012"/>
    <n v="6.66"/>
    <n v="27782"/>
    <n v="1356"/>
    <n v="0.41466368206671317"/>
    <n v="689"/>
  </r>
  <r>
    <x v="50"/>
    <x v="1"/>
    <n v="1358"/>
    <n v="77"/>
    <n v="169688"/>
    <n v="5.25"/>
    <n v="7859"/>
    <n v="1281"/>
    <n v="0.75491490264485406"/>
    <n v="865.25"/>
  </r>
  <r>
    <x v="50"/>
    <x v="0"/>
    <n v="1073"/>
    <n v="141"/>
    <n v="118393"/>
    <n v="7.95"/>
    <n v="14051"/>
    <n v="932"/>
    <n v="0.78720870321725112"/>
    <n v="986.5"/>
  </r>
  <r>
    <x v="51"/>
    <x v="2"/>
    <n v="1389"/>
    <n v="205"/>
    <n v="315981"/>
    <n v="7.62"/>
    <n v="20595"/>
    <n v="1184"/>
    <n v="0.37470607409939205"/>
    <n v="1188.25"/>
  </r>
  <r>
    <x v="51"/>
    <x v="0"/>
    <n v="1242"/>
    <n v="201"/>
    <n v="271935"/>
    <n v="5.07"/>
    <n v="15773"/>
    <n v="1041"/>
    <n v="0.3828120690606211"/>
    <n v="1109.5"/>
  </r>
  <r>
    <x v="51"/>
    <x v="1"/>
    <n v="826"/>
    <n v="142"/>
    <n v="341016"/>
    <n v="7.44"/>
    <n v="12031"/>
    <n v="684"/>
    <n v="0.20057709902174681"/>
    <n v="960.25"/>
  </r>
  <r>
    <x v="52"/>
    <x v="2"/>
    <n v="1419"/>
    <n v="293"/>
    <n v="116632"/>
    <n v="6.93"/>
    <n v="11826"/>
    <n v="1126"/>
    <n v="0.96542972769051372"/>
    <n v="1008.75"/>
  </r>
  <r>
    <x v="52"/>
    <x v="1"/>
    <n v="637"/>
    <n v="68"/>
    <n v="115694"/>
    <n v="9.99"/>
    <n v="12562"/>
    <n v="569"/>
    <n v="0.49181461441388491"/>
    <n v="847.5"/>
  </r>
  <r>
    <x v="52"/>
    <x v="0"/>
    <n v="618"/>
    <n v="264"/>
    <n v="285164"/>
    <n v="4.8600000000000003"/>
    <n v="15128"/>
    <n v="354"/>
    <n v="0.12413909189098205"/>
    <n v="683.25"/>
  </r>
  <r>
    <x v="53"/>
    <x v="1"/>
    <n v="1183"/>
    <n v="248"/>
    <n v="226881"/>
    <n v="5.17"/>
    <n v="14534"/>
    <n v="935"/>
    <n v="0.41211031333606601"/>
    <n v="746"/>
  </r>
  <r>
    <x v="53"/>
    <x v="0"/>
    <n v="917"/>
    <n v="187"/>
    <n v="64444"/>
    <n v="5.22"/>
    <n v="13013"/>
    <n v="730"/>
    <n v="1.1327664328719507"/>
    <n v="647"/>
  </r>
  <r>
    <x v="53"/>
    <x v="2"/>
    <n v="810"/>
    <n v="232"/>
    <n v="362559"/>
    <n v="5.17"/>
    <n v="12937"/>
    <n v="578"/>
    <n v="0.15942232850377458"/>
    <n v="649.25"/>
  </r>
  <r>
    <x v="54"/>
    <x v="1"/>
    <n v="1145"/>
    <n v="151"/>
    <n v="182759"/>
    <n v="5.99"/>
    <n v="20109"/>
    <n v="994"/>
    <n v="0.5438856636335283"/>
    <n v="809.25"/>
  </r>
  <r>
    <x v="54"/>
    <x v="0"/>
    <n v="765"/>
    <n v="67"/>
    <n v="283537"/>
    <n v="6.18"/>
    <n v="8182"/>
    <n v="698"/>
    <n v="0.24617598408673294"/>
    <n v="750"/>
  </r>
  <r>
    <x v="54"/>
    <x v="2"/>
    <n v="540"/>
    <n v="215"/>
    <n v="62837"/>
    <n v="5.3"/>
    <n v="10615"/>
    <n v="325"/>
    <n v="0.5172111972245651"/>
    <n v="648.75"/>
  </r>
  <r>
    <x v="55"/>
    <x v="2"/>
    <n v="668"/>
    <n v="124"/>
    <n v="257485"/>
    <n v="7.55"/>
    <n v="26730"/>
    <n v="544"/>
    <n v="0.21127444317144686"/>
    <n v="640.25"/>
  </r>
  <r>
    <x v="55"/>
    <x v="1"/>
    <n v="761"/>
    <n v="241"/>
    <n v="154977"/>
    <n v="5.63"/>
    <n v="10563"/>
    <n v="520"/>
    <n v="0.33553365983339462"/>
    <n v="521.75"/>
  </r>
  <r>
    <x v="55"/>
    <x v="0"/>
    <n v="564"/>
    <n v="244"/>
    <n v="279405"/>
    <n v="8.43"/>
    <n v="26024"/>
    <n v="320"/>
    <n v="0.11452908859898712"/>
    <n v="427.25"/>
  </r>
  <r>
    <x v="56"/>
    <x v="2"/>
    <n v="1349"/>
    <n v="115"/>
    <n v="102102"/>
    <n v="5.28"/>
    <n v="14479"/>
    <n v="1234"/>
    <n v="1.208595326242385"/>
    <n v="654.5"/>
  </r>
  <r>
    <x v="56"/>
    <x v="1"/>
    <n v="693"/>
    <n v="97"/>
    <n v="92025"/>
    <n v="5.95"/>
    <n v="15915"/>
    <n v="596"/>
    <n v="0.64765009508285798"/>
    <n v="667.5"/>
  </r>
  <r>
    <x v="56"/>
    <x v="0"/>
    <n v="593"/>
    <n v="108"/>
    <n v="216500"/>
    <n v="4.71"/>
    <n v="27575"/>
    <n v="485"/>
    <n v="0.22401847575057734"/>
    <n v="658.75"/>
  </r>
  <r>
    <x v="57"/>
    <x v="2"/>
    <n v="1155"/>
    <n v="122"/>
    <n v="387352"/>
    <n v="9.93"/>
    <n v="12170"/>
    <n v="1033"/>
    <n v="0.26668250067122412"/>
    <n v="837"/>
  </r>
  <r>
    <x v="57"/>
    <x v="0"/>
    <n v="974"/>
    <n v="143"/>
    <n v="247965"/>
    <n v="9.98"/>
    <n v="12767"/>
    <n v="831"/>
    <n v="0.3351279414433489"/>
    <n v="783"/>
  </r>
  <r>
    <x v="57"/>
    <x v="1"/>
    <n v="1051"/>
    <n v="246"/>
    <n v="253985"/>
    <n v="9.08"/>
    <n v="7245"/>
    <n v="805"/>
    <n v="0.31694785125105812"/>
    <n v="788.5"/>
  </r>
  <r>
    <x v="58"/>
    <x v="0"/>
    <n v="1457"/>
    <n v="183"/>
    <n v="129640"/>
    <n v="7.98"/>
    <n v="12985"/>
    <n v="1274"/>
    <n v="0.98272138228941686"/>
    <n v="985.75"/>
  </r>
  <r>
    <x v="58"/>
    <x v="1"/>
    <n v="1111"/>
    <n v="159"/>
    <n v="360770"/>
    <n v="8.7100000000000009"/>
    <n v="11453"/>
    <n v="952"/>
    <n v="0.26388003437092888"/>
    <n v="965.5"/>
  </r>
  <r>
    <x v="58"/>
    <x v="2"/>
    <n v="670"/>
    <n v="242"/>
    <n v="281913"/>
    <n v="9.6199999999999992"/>
    <n v="16377"/>
    <n v="428"/>
    <n v="0.15181988769584942"/>
    <n v="864.75"/>
  </r>
  <r>
    <x v="59"/>
    <x v="1"/>
    <n v="1246"/>
    <n v="107"/>
    <n v="350949"/>
    <n v="4.9800000000000004"/>
    <n v="27809"/>
    <n v="1139"/>
    <n v="0.32454858113287116"/>
    <n v="948.25"/>
  </r>
  <r>
    <x v="59"/>
    <x v="0"/>
    <n v="1197"/>
    <n v="246"/>
    <n v="127273"/>
    <n v="6.69"/>
    <n v="12323"/>
    <n v="951"/>
    <n v="0.74721268454424739"/>
    <n v="867.5"/>
  </r>
  <r>
    <x v="59"/>
    <x v="2"/>
    <n v="754"/>
    <n v="150"/>
    <n v="189622"/>
    <n v="4.25"/>
    <n v="11911"/>
    <n v="604"/>
    <n v="0.31852844079273501"/>
    <n v="780.5"/>
  </r>
  <r>
    <x v="60"/>
    <x v="1"/>
    <n v="1490"/>
    <n v="103"/>
    <n v="81184"/>
    <n v="7.79"/>
    <n v="10681"/>
    <n v="1387"/>
    <n v="1.7084647221127316"/>
    <n v="980.66666666666663"/>
  </r>
  <r>
    <x v="60"/>
    <x v="2"/>
    <n v="1425"/>
    <n v="143"/>
    <n v="116742"/>
    <n v="3.71"/>
    <n v="27126"/>
    <n v="1282"/>
    <n v="1.0981480529715097"/>
    <n v="1056"/>
  </r>
  <r>
    <x v="60"/>
    <x v="0"/>
    <n v="780"/>
    <n v="213"/>
    <n v="121431"/>
    <n v="4.97"/>
    <n v="21464"/>
    <n v="567"/>
    <n v="0.46693183783383158"/>
    <n v="960"/>
  </r>
  <r>
    <x v="61"/>
    <x v="0"/>
    <n v="949"/>
    <n v="282"/>
    <n v="87126"/>
    <n v="4.96"/>
    <n v="5413"/>
    <n v="667"/>
    <n v="0.76555792759910934"/>
    <n v="975.75"/>
  </r>
  <r>
    <x v="61"/>
    <x v="1"/>
    <n v="616"/>
    <n v="93"/>
    <n v="133082"/>
    <n v="8.51"/>
    <n v="18303"/>
    <n v="523"/>
    <n v="0.39299078763469142"/>
    <n v="759.75"/>
  </r>
  <r>
    <x v="61"/>
    <x v="2"/>
    <n v="640"/>
    <n v="141"/>
    <n v="267546"/>
    <n v="8.58"/>
    <n v="25058"/>
    <n v="499"/>
    <n v="0.18650998332996943"/>
    <n v="564"/>
  </r>
  <r>
    <x v="62"/>
    <x v="0"/>
    <n v="1080"/>
    <n v="184"/>
    <n v="340557"/>
    <n v="5.41"/>
    <n v="5526"/>
    <n v="896"/>
    <n v="0.26309839468870116"/>
    <n v="646.25"/>
  </r>
  <r>
    <x v="62"/>
    <x v="1"/>
    <n v="1007"/>
    <n v="258"/>
    <n v="113412"/>
    <n v="7.71"/>
    <n v="14475"/>
    <n v="749"/>
    <n v="0.6604239410291679"/>
    <n v="666.75"/>
  </r>
  <r>
    <x v="62"/>
    <x v="2"/>
    <n v="938"/>
    <n v="236"/>
    <n v="116472"/>
    <n v="8.7200000000000006"/>
    <n v="17460"/>
    <n v="702"/>
    <n v="0.60271996703070263"/>
    <n v="711.5"/>
  </r>
  <r>
    <x v="63"/>
    <x v="1"/>
    <n v="936"/>
    <n v="97"/>
    <n v="151799"/>
    <n v="9.3699999999999992"/>
    <n v="15461"/>
    <n v="839"/>
    <n v="0.55270456327116779"/>
    <n v="796.5"/>
  </r>
  <r>
    <x v="63"/>
    <x v="2"/>
    <n v="745"/>
    <n v="98"/>
    <n v="354816"/>
    <n v="4.03"/>
    <n v="17103"/>
    <n v="647"/>
    <n v="0.18234803391053389"/>
    <n v="734.25"/>
  </r>
  <r>
    <x v="63"/>
    <x v="0"/>
    <n v="541"/>
    <n v="208"/>
    <n v="157547"/>
    <n v="8.35"/>
    <n v="20162"/>
    <n v="333"/>
    <n v="0.2113654972801767"/>
    <n v="630.25"/>
  </r>
  <r>
    <x v="64"/>
    <x v="2"/>
    <n v="1413"/>
    <n v="245"/>
    <n v="296450"/>
    <n v="6.52"/>
    <n v="11625"/>
    <n v="1168"/>
    <n v="0.39399561477483558"/>
    <n v="746.75"/>
  </r>
  <r>
    <x v="64"/>
    <x v="0"/>
    <n v="1183"/>
    <n v="223"/>
    <n v="143811"/>
    <n v="6.07"/>
    <n v="22103"/>
    <n v="960"/>
    <n v="0.66754281661347181"/>
    <n v="777"/>
  </r>
  <r>
    <x v="64"/>
    <x v="1"/>
    <n v="791"/>
    <n v="273"/>
    <n v="144049"/>
    <n v="3.08"/>
    <n v="5281"/>
    <n v="518"/>
    <n v="0.35959985838152297"/>
    <n v="744.75"/>
  </r>
  <r>
    <x v="65"/>
    <x v="0"/>
    <n v="1052"/>
    <n v="180"/>
    <n v="272534"/>
    <n v="5.34"/>
    <n v="13424"/>
    <n v="872"/>
    <n v="0.31996007837554213"/>
    <n v="879.5"/>
  </r>
  <r>
    <x v="65"/>
    <x v="2"/>
    <n v="572"/>
    <n v="270"/>
    <n v="82265"/>
    <n v="3.65"/>
    <n v="13140"/>
    <n v="302"/>
    <n v="0.36710630280192064"/>
    <n v="663"/>
  </r>
  <r>
    <x v="65"/>
    <x v="1"/>
    <n v="503"/>
    <n v="253"/>
    <n v="313562"/>
    <n v="4.18"/>
    <n v="19538"/>
    <n v="250"/>
    <n v="7.9729048800556188E-2"/>
    <n v="485.5"/>
  </r>
  <r>
    <x v="66"/>
    <x v="0"/>
    <n v="1017"/>
    <n v="197"/>
    <n v="89918"/>
    <n v="3.91"/>
    <n v="7881"/>
    <n v="820"/>
    <n v="0.91194199159233968"/>
    <n v="561"/>
  </r>
  <r>
    <x v="66"/>
    <x v="2"/>
    <n v="860"/>
    <n v="244"/>
    <n v="348686"/>
    <n v="5.12"/>
    <n v="11418"/>
    <n v="616"/>
    <n v="0.17666324429429342"/>
    <n v="4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d v="2025-05-04T00:00:00"/>
    <x v="0"/>
    <s v="Discover fresh beats on Spotify!"/>
    <n v="2414"/>
    <n v="245"/>
    <n v="137"/>
    <n v="21181"/>
    <n v="45292"/>
    <n v="133"/>
    <x v="0"/>
    <x v="0"/>
    <n v="0.13200509890939993"/>
    <n v="365"/>
  </r>
  <r>
    <s v="SP001"/>
    <x v="0"/>
    <d v="2025-05-04T00:00:00"/>
    <x v="0"/>
    <s v="Discover fresh beats on Spotify!"/>
    <n v="2414"/>
    <n v="245"/>
    <n v="137"/>
    <n v="21181"/>
    <n v="45292"/>
    <n v="133"/>
    <x v="1"/>
    <x v="0"/>
    <n v="0.13200509890939993"/>
    <n v="365"/>
  </r>
  <r>
    <s v="SP002"/>
    <x v="0"/>
    <d v="2025-02-01T00:00:00"/>
    <x v="0"/>
    <s v="Explore the latest podcasts now."/>
    <n v="1934"/>
    <n v="210"/>
    <n v="393"/>
    <n v="29129"/>
    <n v="73287"/>
    <n v="273"/>
    <x v="2"/>
    <x v="1"/>
    <n v="8.7095334546328396E-2"/>
    <n v="62"/>
  </r>
  <r>
    <s v="SP003"/>
    <x v="1"/>
    <d v="2024-12-03T00:00:00"/>
    <x v="1"/>
    <s v="New music just dropped. Hit play!"/>
    <n v="3092"/>
    <n v="177"/>
    <n v="81"/>
    <n v="47533"/>
    <n v="29220"/>
    <n v="121"/>
    <x v="3"/>
    <x v="0"/>
    <n v="7.0477352576105018E-2"/>
    <n v="387"/>
  </r>
  <r>
    <s v="SP003"/>
    <x v="1"/>
    <d v="2024-12-03T00:00:00"/>
    <x v="1"/>
    <s v="New music just dropped. Hit play!"/>
    <n v="3092"/>
    <n v="177"/>
    <n v="81"/>
    <n v="47533"/>
    <n v="29220"/>
    <n v="121"/>
    <x v="1"/>
    <x v="0"/>
    <n v="7.0477352576105018E-2"/>
    <n v="387"/>
  </r>
  <r>
    <s v="SP004"/>
    <x v="0"/>
    <d v="2024-12-03T00:00:00"/>
    <x v="0"/>
    <s v="Wrapped is here! Relive your top tracks ðŸŽ§"/>
    <n v="3173"/>
    <n v="229"/>
    <n v="197"/>
    <n v="29604"/>
    <n v="21809"/>
    <n v="272"/>
    <x v="0"/>
    <x v="0"/>
    <n v="0.1215714092690177"/>
    <n v="65"/>
  </r>
  <r>
    <s v="SP004"/>
    <x v="0"/>
    <d v="2024-12-03T00:00:00"/>
    <x v="0"/>
    <s v="Wrapped is here! Relive your top tracks ðŸŽ§"/>
    <n v="3173"/>
    <n v="229"/>
    <n v="197"/>
    <n v="29604"/>
    <n v="21809"/>
    <n v="272"/>
    <x v="1"/>
    <x v="0"/>
    <n v="0.1215714092690177"/>
    <n v="65"/>
  </r>
  <r>
    <s v="SP005"/>
    <x v="2"/>
    <d v="2024-04-06T00:00:00"/>
    <x v="0"/>
    <s v="Music that moves youâ€”only on Spotify."/>
    <n v="2748"/>
    <n v="145"/>
    <n v="315"/>
    <n v="24401"/>
    <n v="61182"/>
    <n v="200"/>
    <x v="2"/>
    <x v="1"/>
    <n v="0.1314700217204213"/>
    <n v="227"/>
  </r>
  <r>
    <s v="SP005"/>
    <x v="2"/>
    <d v="2024-04-06T00:00:00"/>
    <x v="0"/>
    <s v="Music that moves youâ€”only on Spotify."/>
    <n v="2748"/>
    <n v="145"/>
    <n v="315"/>
    <n v="24401"/>
    <n v="61182"/>
    <n v="200"/>
    <x v="4"/>
    <x v="1"/>
    <n v="0.1314700217204213"/>
    <n v="227"/>
  </r>
  <r>
    <s v="SP006"/>
    <x v="2"/>
    <d v="2024-06-13T00:00:00"/>
    <x v="0"/>
    <s v="Whatâ€™s your vibe today? #SpotifyHits"/>
    <n v="3882"/>
    <n v="239"/>
    <n v="275"/>
    <n v="58748"/>
    <n v="44646"/>
    <n v="149"/>
    <x v="2"/>
    <x v="1"/>
    <n v="7.4828079253761837E-2"/>
    <n v="342"/>
  </r>
  <r>
    <s v="SP006"/>
    <x v="2"/>
    <d v="2024-06-13T00:00:00"/>
    <x v="0"/>
    <s v="Whatâ€™s your vibe today? #SpotifyHits"/>
    <n v="3882"/>
    <n v="239"/>
    <n v="275"/>
    <n v="58748"/>
    <n v="44646"/>
    <n v="149"/>
    <x v="4"/>
    <x v="1"/>
    <n v="7.4828079253761837E-2"/>
    <n v="342"/>
  </r>
  <r>
    <s v="SP007"/>
    <x v="1"/>
    <d v="2024-12-19T00:00:00"/>
    <x v="1"/>
    <s v="Get into the groove with our new drop!"/>
    <n v="4674"/>
    <n v="409"/>
    <n v="327"/>
    <n v="20756"/>
    <n v="63599"/>
    <n v="212"/>
    <x v="0"/>
    <x v="0"/>
    <n v="0.26064752360763155"/>
    <n v="200"/>
  </r>
  <r>
    <s v="SP007"/>
    <x v="1"/>
    <d v="2024-12-19T00:00:00"/>
    <x v="1"/>
    <s v="Get into the groove with our new drop!"/>
    <n v="4674"/>
    <n v="409"/>
    <n v="327"/>
    <n v="20756"/>
    <n v="63599"/>
    <n v="212"/>
    <x v="1"/>
    <x v="0"/>
    <n v="0.26064752360763155"/>
    <n v="200"/>
  </r>
  <r>
    <s v="SP008"/>
    <x v="1"/>
    <d v="2024-05-09T00:00:00"/>
    <x v="1"/>
    <s v="Wrapped is here! Relive your top tracks ðŸŽ§"/>
    <n v="1428"/>
    <n v="347"/>
    <n v="67"/>
    <n v="21148"/>
    <n v="19712"/>
    <n v="120"/>
    <x v="2"/>
    <x v="0"/>
    <n v="8.7100435029317191E-2"/>
    <n v="391"/>
  </r>
  <r>
    <s v="SP008"/>
    <x v="1"/>
    <d v="2024-05-09T00:00:00"/>
    <x v="1"/>
    <s v="Wrapped is here! Relive your top tracks ðŸŽ§"/>
    <n v="1428"/>
    <n v="347"/>
    <n v="67"/>
    <n v="21148"/>
    <n v="19712"/>
    <n v="120"/>
    <x v="3"/>
    <x v="0"/>
    <n v="8.7100435029317191E-2"/>
    <n v="391"/>
  </r>
  <r>
    <s v="SP009"/>
    <x v="1"/>
    <d v="2025-06-15T00:00:00"/>
    <x v="0"/>
    <s v="Top trending tracks updated daily!"/>
    <n v="4432"/>
    <n v="223"/>
    <n v="299"/>
    <n v="59016"/>
    <n v="21742"/>
    <n v="171"/>
    <x v="1"/>
    <x v="0"/>
    <n v="8.3943337400027115E-2"/>
    <n v="292"/>
  </r>
  <r>
    <s v="SP010"/>
    <x v="1"/>
    <d v="2024-12-04T00:00:00"/>
    <x v="0"/>
    <s v="Wrapped is here! Relive your top tracks ðŸŽ§"/>
    <n v="2357"/>
    <n v="274"/>
    <n v="172"/>
    <n v="21566"/>
    <n v="66829"/>
    <n v="284"/>
    <x v="1"/>
    <x v="0"/>
    <n v="0.12997310581470833"/>
    <n v="37"/>
  </r>
  <r>
    <s v="SP011"/>
    <x v="1"/>
    <d v="2024-03-06T00:00:00"/>
    <x v="0"/>
    <s v="Discover fresh beats on Spotify!"/>
    <n v="1971"/>
    <n v="370"/>
    <n v="306"/>
    <n v="31316"/>
    <n v="27897"/>
    <n v="88"/>
    <x v="0"/>
    <x v="1"/>
    <n v="8.4525482181632389E-2"/>
    <n v="457"/>
  </r>
  <r>
    <s v="SP012"/>
    <x v="0"/>
    <d v="2024-05-14T00:00:00"/>
    <x v="0"/>
    <s v="Discover fresh beats on Spotify!"/>
    <n v="1485"/>
    <n v="353"/>
    <n v="244"/>
    <n v="38419"/>
    <n v="38556"/>
    <n v="86"/>
    <x v="0"/>
    <x v="0"/>
    <n v="5.4191936281527367E-2"/>
    <n v="467"/>
  </r>
  <r>
    <s v="SP012"/>
    <x v="0"/>
    <d v="2024-05-14T00:00:00"/>
    <x v="0"/>
    <s v="Discover fresh beats on Spotify!"/>
    <n v="1485"/>
    <n v="353"/>
    <n v="244"/>
    <n v="38419"/>
    <n v="38556"/>
    <n v="86"/>
    <x v="1"/>
    <x v="0"/>
    <n v="5.4191936281527367E-2"/>
    <n v="467"/>
  </r>
  <r>
    <s v="SP013"/>
    <x v="1"/>
    <d v="2025-06-18T00:00:00"/>
    <x v="1"/>
    <s v="Discover fresh beats on Spotify!"/>
    <n v="3956"/>
    <n v="319"/>
    <n v="61"/>
    <n v="58162"/>
    <n v="28720"/>
    <n v="213"/>
    <x v="3"/>
    <x v="0"/>
    <n v="7.4550393727863554E-2"/>
    <n v="193"/>
  </r>
  <r>
    <s v="SP013"/>
    <x v="1"/>
    <d v="2025-06-18T00:00:00"/>
    <x v="1"/>
    <s v="Discover fresh beats on Spotify!"/>
    <n v="3956"/>
    <n v="319"/>
    <n v="61"/>
    <n v="58162"/>
    <n v="28720"/>
    <n v="213"/>
    <x v="1"/>
    <x v="0"/>
    <n v="7.4550393727863554E-2"/>
    <n v="193"/>
  </r>
  <r>
    <s v="SP014"/>
    <x v="1"/>
    <d v="2024-10-08T00:00:00"/>
    <x v="0"/>
    <s v="From pop to podcasts, itâ€™s all here."/>
    <n v="2460"/>
    <n v="409"/>
    <n v="253"/>
    <n v="36702"/>
    <n v="46122"/>
    <n v="264"/>
    <x v="1"/>
    <x v="0"/>
    <n v="8.5063484278785892E-2"/>
    <n v="96"/>
  </r>
  <r>
    <s v="SP015"/>
    <x v="1"/>
    <d v="2024-05-06T00:00:00"/>
    <x v="0"/>
    <s v="Your weekend playlist is waiting."/>
    <n v="3476"/>
    <n v="355"/>
    <n v="396"/>
    <n v="37492"/>
    <n v="27285"/>
    <n v="179"/>
    <x v="1"/>
    <x v="0"/>
    <n v="0.11274405206444041"/>
    <n v="265"/>
  </r>
  <r>
    <s v="SP016"/>
    <x v="1"/>
    <d v="2024-12-29T00:00:00"/>
    <x v="1"/>
    <s v="New music just dropped. Hit play!"/>
    <n v="4049"/>
    <n v="377"/>
    <n v="94"/>
    <n v="48182"/>
    <n v="42875"/>
    <n v="172"/>
    <x v="3"/>
    <x v="0"/>
    <n v="9.3810966751068869E-2"/>
    <n v="288"/>
  </r>
  <r>
    <s v="SP016"/>
    <x v="1"/>
    <d v="2024-12-29T00:00:00"/>
    <x v="1"/>
    <s v="New music just dropped. Hit play!"/>
    <n v="4049"/>
    <n v="377"/>
    <n v="94"/>
    <n v="48182"/>
    <n v="42875"/>
    <n v="172"/>
    <x v="1"/>
    <x v="0"/>
    <n v="9.3810966751068869E-2"/>
    <n v="288"/>
  </r>
  <r>
    <s v="SP017"/>
    <x v="1"/>
    <d v="2024-06-10T00:00:00"/>
    <x v="0"/>
    <s v="Whatâ€™s your vibe today? #SpotifyHits"/>
    <n v="1514"/>
    <n v="164"/>
    <n v="275"/>
    <n v="41364"/>
    <n v="44389"/>
    <n v="83"/>
    <x v="1"/>
    <x v="0"/>
    <n v="4.7214969538729328E-2"/>
    <n v="475"/>
  </r>
  <r>
    <s v="SP018"/>
    <x v="0"/>
    <d v="2024-02-03T00:00:00"/>
    <x v="1"/>
    <s v="Music that moves youâ€”only on Spotify."/>
    <n v="4281"/>
    <n v="101"/>
    <n v="163"/>
    <n v="32278"/>
    <n v="53382"/>
    <n v="235"/>
    <x v="1"/>
    <x v="2"/>
    <n v="0.1408079806679472"/>
    <n v="146"/>
  </r>
  <r>
    <s v="SP019"/>
    <x v="2"/>
    <d v="2024-06-15T00:00:00"/>
    <x v="2"/>
    <s v="Get into the groove with our new drop!"/>
    <n v="1751"/>
    <n v="143"/>
    <n v="151"/>
    <n v="31826"/>
    <n v="47729"/>
    <n v="95"/>
    <x v="2"/>
    <x v="3"/>
    <n v="6.4255640042732362E-2"/>
    <n v="447"/>
  </r>
  <r>
    <s v="SP019"/>
    <x v="2"/>
    <d v="2024-06-15T00:00:00"/>
    <x v="2"/>
    <s v="Get into the groove with our new drop!"/>
    <n v="1751"/>
    <n v="143"/>
    <n v="151"/>
    <n v="31826"/>
    <n v="47729"/>
    <n v="95"/>
    <x v="0"/>
    <x v="3"/>
    <n v="6.4255640042732362E-2"/>
    <n v="447"/>
  </r>
  <r>
    <s v="SP020"/>
    <x v="0"/>
    <d v="2024-07-05T00:00:00"/>
    <x v="0"/>
    <s v="Your weekend playlist is waiting."/>
    <n v="3753"/>
    <n v="411"/>
    <n v="308"/>
    <n v="29138"/>
    <n v="27678"/>
    <n v="90"/>
    <x v="2"/>
    <x v="1"/>
    <n v="0.15347655981879332"/>
    <n v="454"/>
  </r>
  <r>
    <s v="SP021"/>
    <x v="0"/>
    <d v="2024-11-07T00:00:00"/>
    <x v="1"/>
    <s v="Wrapped is here! Relive your top tracks ðŸŽ§"/>
    <n v="1678"/>
    <n v="423"/>
    <n v="323"/>
    <n v="55668"/>
    <n v="37945"/>
    <n v="230"/>
    <x v="1"/>
    <x v="2"/>
    <n v="4.3543867212761371E-2"/>
    <n v="155"/>
  </r>
  <r>
    <s v="SP022"/>
    <x v="0"/>
    <d v="2025-06-15T00:00:00"/>
    <x v="0"/>
    <s v="Whatâ€™s your vibe today? #SpotifyHits"/>
    <n v="4896"/>
    <n v="466"/>
    <n v="233"/>
    <n v="28621"/>
    <n v="34270"/>
    <n v="84"/>
    <x v="0"/>
    <x v="0"/>
    <n v="0.19548583208133888"/>
    <n v="473"/>
  </r>
  <r>
    <s v="SP022"/>
    <x v="0"/>
    <d v="2025-06-15T00:00:00"/>
    <x v="0"/>
    <s v="Whatâ€™s your vibe today? #SpotifyHits"/>
    <n v="4896"/>
    <n v="466"/>
    <n v="233"/>
    <n v="28621"/>
    <n v="34270"/>
    <n v="84"/>
    <x v="1"/>
    <x v="0"/>
    <n v="0.19548583208133888"/>
    <n v="473"/>
  </r>
  <r>
    <s v="SP023"/>
    <x v="2"/>
    <d v="2024-06-09T00:00:00"/>
    <x v="2"/>
    <s v="From pop to podcasts, itâ€™s all here."/>
    <n v="2786"/>
    <n v="368"/>
    <n v="208"/>
    <n v="42000"/>
    <n v="39967"/>
    <n v="103"/>
    <x v="2"/>
    <x v="3"/>
    <n v="8.0047619047619048E-2"/>
    <n v="432"/>
  </r>
  <r>
    <s v="SP023"/>
    <x v="2"/>
    <d v="2024-06-09T00:00:00"/>
    <x v="2"/>
    <s v="From pop to podcasts, itâ€™s all here."/>
    <n v="2786"/>
    <n v="368"/>
    <n v="208"/>
    <n v="42000"/>
    <n v="39967"/>
    <n v="103"/>
    <x v="0"/>
    <x v="3"/>
    <n v="8.0047619047619048E-2"/>
    <n v="432"/>
  </r>
  <r>
    <s v="SP024"/>
    <x v="1"/>
    <d v="2024-10-18T00:00:00"/>
    <x v="0"/>
    <s v="New music just dropped. Hit play!"/>
    <n v="2607"/>
    <n v="379"/>
    <n v="180"/>
    <n v="28712"/>
    <n v="61620"/>
    <n v="174"/>
    <x v="0"/>
    <x v="1"/>
    <n v="0.11026748397882419"/>
    <n v="279"/>
  </r>
  <r>
    <s v="SP025"/>
    <x v="2"/>
    <d v="2024-10-10T00:00:00"/>
    <x v="2"/>
    <s v="From pop to podcasts, itâ€™s all here."/>
    <n v="4013"/>
    <n v="320"/>
    <n v="92"/>
    <n v="54605"/>
    <n v="60169"/>
    <n v="232"/>
    <x v="2"/>
    <x v="3"/>
    <n v="8.1036535115831879E-2"/>
    <n v="148"/>
  </r>
  <r>
    <s v="SP025"/>
    <x v="2"/>
    <d v="2024-10-10T00:00:00"/>
    <x v="2"/>
    <s v="From pop to podcasts, itâ€™s all here."/>
    <n v="4013"/>
    <n v="320"/>
    <n v="92"/>
    <n v="54605"/>
    <n v="60169"/>
    <n v="232"/>
    <x v="0"/>
    <x v="3"/>
    <n v="8.1036535115831879E-2"/>
    <n v="148"/>
  </r>
  <r>
    <s v="SP026"/>
    <x v="1"/>
    <d v="2025-05-14T00:00:00"/>
    <x v="1"/>
    <s v="From pop to podcasts, itâ€™s all here."/>
    <n v="2707"/>
    <n v="103"/>
    <n v="51"/>
    <n v="55302"/>
    <n v="18801"/>
    <n v="147"/>
    <x v="2"/>
    <x v="0"/>
    <n v="5.173411449857148E-2"/>
    <n v="346"/>
  </r>
  <r>
    <s v="SP026"/>
    <x v="1"/>
    <d v="2025-05-14T00:00:00"/>
    <x v="1"/>
    <s v="From pop to podcasts, itâ€™s all here."/>
    <n v="2707"/>
    <n v="103"/>
    <n v="51"/>
    <n v="55302"/>
    <n v="18801"/>
    <n v="147"/>
    <x v="3"/>
    <x v="0"/>
    <n v="5.173411449857148E-2"/>
    <n v="346"/>
  </r>
  <r>
    <s v="SP027"/>
    <x v="0"/>
    <d v="2024-11-29T00:00:00"/>
    <x v="0"/>
    <s v="Whatâ€™s your vibe today? #SpotifyHits"/>
    <n v="2824"/>
    <n v="425"/>
    <n v="274"/>
    <n v="31004"/>
    <n v="53488"/>
    <n v="268"/>
    <x v="0"/>
    <x v="0"/>
    <n v="0.11363049929041415"/>
    <n v="84"/>
  </r>
  <r>
    <s v="SP027"/>
    <x v="0"/>
    <d v="2024-11-29T00:00:00"/>
    <x v="0"/>
    <s v="Whatâ€™s your vibe today? #SpotifyHits"/>
    <n v="2824"/>
    <n v="425"/>
    <n v="274"/>
    <n v="31004"/>
    <n v="53488"/>
    <n v="268"/>
    <x v="1"/>
    <x v="0"/>
    <n v="0.11363049929041415"/>
    <n v="84"/>
  </r>
  <r>
    <s v="SP028"/>
    <x v="2"/>
    <d v="2024-03-05T00:00:00"/>
    <x v="2"/>
    <s v="Explore the latest podcasts now."/>
    <n v="3558"/>
    <n v="314"/>
    <n v="199"/>
    <n v="49612"/>
    <n v="53929"/>
    <n v="206"/>
    <x v="2"/>
    <x v="3"/>
    <n v="8.205676046117874E-2"/>
    <n v="212"/>
  </r>
  <r>
    <s v="SP028"/>
    <x v="2"/>
    <d v="2024-03-05T00:00:00"/>
    <x v="2"/>
    <s v="Explore the latest podcasts now."/>
    <n v="3558"/>
    <n v="314"/>
    <n v="199"/>
    <n v="49612"/>
    <n v="53929"/>
    <n v="206"/>
    <x v="0"/>
    <x v="3"/>
    <n v="8.205676046117874E-2"/>
    <n v="212"/>
  </r>
  <r>
    <s v="SP029"/>
    <x v="1"/>
    <d v="2025-03-18T00:00:00"/>
    <x v="1"/>
    <s v="Explore the latest podcasts now."/>
    <n v="3418"/>
    <n v="188"/>
    <n v="387"/>
    <n v="57431"/>
    <n v="36933"/>
    <n v="202"/>
    <x v="3"/>
    <x v="0"/>
    <n v="6.9526910553533799E-2"/>
    <n v="223"/>
  </r>
  <r>
    <s v="SP029"/>
    <x v="1"/>
    <d v="2025-03-18T00:00:00"/>
    <x v="1"/>
    <s v="Explore the latest podcasts now."/>
    <n v="3418"/>
    <n v="188"/>
    <n v="387"/>
    <n v="57431"/>
    <n v="36933"/>
    <n v="202"/>
    <x v="1"/>
    <x v="0"/>
    <n v="6.9526910553533799E-2"/>
    <n v="223"/>
  </r>
  <r>
    <s v="SP030"/>
    <x v="1"/>
    <d v="2025-04-26T00:00:00"/>
    <x v="0"/>
    <s v="Discover fresh beats on Spotify!"/>
    <n v="2411"/>
    <n v="194"/>
    <n v="168"/>
    <n v="26665"/>
    <n v="71699"/>
    <n v="197"/>
    <x v="1"/>
    <x v="0"/>
    <n v="0.10399399962497656"/>
    <n v="232"/>
  </r>
  <r>
    <s v="SP031"/>
    <x v="0"/>
    <d v="2025-01-01T00:00:00"/>
    <x v="0"/>
    <s v="New music just dropped. Hit play!"/>
    <n v="4036"/>
    <n v="112"/>
    <n v="382"/>
    <n v="56284"/>
    <n v="29440"/>
    <n v="279"/>
    <x v="0"/>
    <x v="0"/>
    <n v="8.0484684812735408E-2"/>
    <n v="44"/>
  </r>
  <r>
    <s v="SP031"/>
    <x v="0"/>
    <d v="2025-01-01T00:00:00"/>
    <x v="0"/>
    <s v="New music just dropped. Hit play!"/>
    <n v="4036"/>
    <n v="112"/>
    <n v="382"/>
    <n v="56284"/>
    <n v="29440"/>
    <n v="279"/>
    <x v="1"/>
    <x v="0"/>
    <n v="8.0484684812735408E-2"/>
    <n v="44"/>
  </r>
  <r>
    <s v="SP032"/>
    <x v="1"/>
    <d v="2024-05-07T00:00:00"/>
    <x v="1"/>
    <s v="Explore the latest podcasts now."/>
    <n v="2776"/>
    <n v="307"/>
    <n v="178"/>
    <n v="43365"/>
    <n v="48408"/>
    <n v="138"/>
    <x v="0"/>
    <x v="0"/>
    <n v="7.519889311656866E-2"/>
    <n v="359"/>
  </r>
  <r>
    <s v="SP032"/>
    <x v="1"/>
    <d v="2024-05-07T00:00:00"/>
    <x v="1"/>
    <s v="Explore the latest podcasts now."/>
    <n v="2776"/>
    <n v="307"/>
    <n v="178"/>
    <n v="43365"/>
    <n v="48408"/>
    <n v="138"/>
    <x v="1"/>
    <x v="0"/>
    <n v="7.519889311656866E-2"/>
    <n v="359"/>
  </r>
  <r>
    <s v="SP033"/>
    <x v="1"/>
    <d v="2024-10-09T00:00:00"/>
    <x v="1"/>
    <s v="Discover fresh beats on Spotify!"/>
    <n v="4929"/>
    <n v="182"/>
    <n v="95"/>
    <n v="32181"/>
    <n v="31084"/>
    <n v="289"/>
    <x v="2"/>
    <x v="0"/>
    <n v="0.16177247444144061"/>
    <n v="25"/>
  </r>
  <r>
    <s v="SP033"/>
    <x v="1"/>
    <d v="2024-10-09T00:00:00"/>
    <x v="1"/>
    <s v="Discover fresh beats on Spotify!"/>
    <n v="4929"/>
    <n v="182"/>
    <n v="95"/>
    <n v="32181"/>
    <n v="31084"/>
    <n v="289"/>
    <x v="3"/>
    <x v="0"/>
    <n v="0.16177247444144061"/>
    <n v="25"/>
  </r>
  <r>
    <s v="SP034"/>
    <x v="0"/>
    <d v="2025-01-09T00:00:00"/>
    <x v="0"/>
    <s v="New music just dropped. Hit play!"/>
    <n v="1015"/>
    <n v="366"/>
    <n v="308"/>
    <n v="38127"/>
    <n v="63790"/>
    <n v="287"/>
    <x v="0"/>
    <x v="0"/>
    <n v="4.4299315445747112E-2"/>
    <n v="29"/>
  </r>
  <r>
    <s v="SP034"/>
    <x v="0"/>
    <d v="2025-01-09T00:00:00"/>
    <x v="0"/>
    <s v="New music just dropped. Hit play!"/>
    <n v="1015"/>
    <n v="366"/>
    <n v="308"/>
    <n v="38127"/>
    <n v="63790"/>
    <n v="287"/>
    <x v="1"/>
    <x v="0"/>
    <n v="4.4299315445747112E-2"/>
    <n v="29"/>
  </r>
  <r>
    <s v="SP035"/>
    <x v="1"/>
    <d v="2025-05-08T00:00:00"/>
    <x v="1"/>
    <s v="Your weekend playlist is waiting."/>
    <n v="3316"/>
    <n v="332"/>
    <n v="268"/>
    <n v="40095"/>
    <n v="36913"/>
    <n v="265"/>
    <x v="3"/>
    <x v="0"/>
    <n v="9.7668038408779148E-2"/>
    <n v="88"/>
  </r>
  <r>
    <s v="SP035"/>
    <x v="1"/>
    <d v="2025-05-08T00:00:00"/>
    <x v="1"/>
    <s v="Your weekend playlist is waiting."/>
    <n v="3316"/>
    <n v="332"/>
    <n v="268"/>
    <n v="40095"/>
    <n v="36913"/>
    <n v="265"/>
    <x v="1"/>
    <x v="0"/>
    <n v="9.7668038408779148E-2"/>
    <n v="88"/>
  </r>
  <r>
    <s v="SP036"/>
    <x v="0"/>
    <d v="2024-05-04T00:00:00"/>
    <x v="0"/>
    <s v="Wrapped is here! Relive your top tracks ðŸŽ§"/>
    <n v="2274"/>
    <n v="243"/>
    <n v="222"/>
    <n v="43066"/>
    <n v="59174"/>
    <n v="80"/>
    <x v="2"/>
    <x v="1"/>
    <n v="6.3600055728416843E-2"/>
    <n v="481"/>
  </r>
  <r>
    <s v="SP037"/>
    <x v="1"/>
    <d v="2025-05-27T00:00:00"/>
    <x v="1"/>
    <s v="Explore the latest podcasts now."/>
    <n v="4095"/>
    <n v="385"/>
    <n v="400"/>
    <n v="45300"/>
    <n v="31795"/>
    <n v="80"/>
    <x v="3"/>
    <x v="0"/>
    <n v="0.10772626931567329"/>
    <n v="481"/>
  </r>
  <r>
    <s v="SP037"/>
    <x v="1"/>
    <d v="2025-05-27T00:00:00"/>
    <x v="1"/>
    <s v="Explore the latest podcasts now."/>
    <n v="4095"/>
    <n v="385"/>
    <n v="400"/>
    <n v="45300"/>
    <n v="31795"/>
    <n v="80"/>
    <x v="1"/>
    <x v="0"/>
    <n v="0.10772626931567329"/>
    <n v="481"/>
  </r>
  <r>
    <s v="SP038"/>
    <x v="0"/>
    <d v="2024-09-10T00:00:00"/>
    <x v="1"/>
    <s v="New music just dropped. Hit play!"/>
    <n v="1230"/>
    <n v="309"/>
    <n v="207"/>
    <n v="44629"/>
    <n v="40699"/>
    <n v="195"/>
    <x v="1"/>
    <x v="2"/>
    <n v="3.9122543637545096E-2"/>
    <n v="239"/>
  </r>
  <r>
    <s v="SP039"/>
    <x v="0"/>
    <d v="2024-11-25T00:00:00"/>
    <x v="0"/>
    <s v="From pop to podcasts, itâ€™s all here."/>
    <n v="1341"/>
    <n v="472"/>
    <n v="238"/>
    <n v="51386"/>
    <n v="51706"/>
    <n v="133"/>
    <x v="2"/>
    <x v="1"/>
    <n v="3.9913595142645857E-2"/>
    <n v="365"/>
  </r>
  <r>
    <s v="SP040"/>
    <x v="1"/>
    <d v="2025-06-10T00:00:00"/>
    <x v="0"/>
    <s v="Explore the latest podcasts now."/>
    <n v="3615"/>
    <n v="192"/>
    <n v="162"/>
    <n v="27492"/>
    <n v="35341"/>
    <n v="125"/>
    <x v="1"/>
    <x v="0"/>
    <n v="0.14436927106067218"/>
    <n v="385"/>
  </r>
  <r>
    <s v="SP041"/>
    <x v="0"/>
    <d v="2024-04-19T00:00:00"/>
    <x v="0"/>
    <s v="New music just dropped. Hit play!"/>
    <n v="4001"/>
    <n v="353"/>
    <n v="129"/>
    <n v="41265"/>
    <n v="37279"/>
    <n v="275"/>
    <x v="0"/>
    <x v="0"/>
    <n v="0.10863928268508422"/>
    <n v="57"/>
  </r>
  <r>
    <s v="SP041"/>
    <x v="0"/>
    <d v="2024-04-19T00:00:00"/>
    <x v="0"/>
    <s v="New music just dropped. Hit play!"/>
    <n v="4001"/>
    <n v="353"/>
    <n v="129"/>
    <n v="41265"/>
    <n v="37279"/>
    <n v="275"/>
    <x v="1"/>
    <x v="0"/>
    <n v="0.10863928268508422"/>
    <n v="57"/>
  </r>
  <r>
    <s v="SP042"/>
    <x v="0"/>
    <d v="2025-01-26T00:00:00"/>
    <x v="1"/>
    <s v="Whatâ€™s your vibe today? #SpotifyHits"/>
    <n v="3451"/>
    <n v="363"/>
    <n v="393"/>
    <n v="44853"/>
    <n v="69032"/>
    <n v="211"/>
    <x v="1"/>
    <x v="2"/>
    <n v="9.379528682585335E-2"/>
    <n v="204"/>
  </r>
  <r>
    <s v="SP043"/>
    <x v="0"/>
    <d v="2025-02-14T00:00:00"/>
    <x v="0"/>
    <s v="Top trending tracks updated daily!"/>
    <n v="4891"/>
    <n v="450"/>
    <n v="387"/>
    <n v="48746"/>
    <n v="37312"/>
    <n v="154"/>
    <x v="0"/>
    <x v="0"/>
    <n v="0.11750707750379519"/>
    <n v="338"/>
  </r>
  <r>
    <s v="SP043"/>
    <x v="0"/>
    <d v="2025-02-14T00:00:00"/>
    <x v="0"/>
    <s v="Top trending tracks updated daily!"/>
    <n v="4891"/>
    <n v="450"/>
    <n v="387"/>
    <n v="48746"/>
    <n v="37312"/>
    <n v="154"/>
    <x v="1"/>
    <x v="0"/>
    <n v="0.11750707750379519"/>
    <n v="338"/>
  </r>
  <r>
    <s v="SP044"/>
    <x v="0"/>
    <d v="2024-09-06T00:00:00"/>
    <x v="0"/>
    <s v="New music just dropped. Hit play!"/>
    <n v="1452"/>
    <n v="281"/>
    <n v="326"/>
    <n v="51556"/>
    <n v="62599"/>
    <n v="290"/>
    <x v="2"/>
    <x v="1"/>
    <n v="3.9937155714174881E-2"/>
    <n v="22"/>
  </r>
  <r>
    <s v="SP045"/>
    <x v="2"/>
    <d v="2024-07-14T00:00:00"/>
    <x v="0"/>
    <s v="Your weekend playlist is waiting."/>
    <n v="3806"/>
    <n v="114"/>
    <n v="278"/>
    <n v="36148"/>
    <n v="24209"/>
    <n v="201"/>
    <x v="2"/>
    <x v="1"/>
    <n v="0.11613367267898639"/>
    <n v="225"/>
  </r>
  <r>
    <s v="SP045"/>
    <x v="2"/>
    <d v="2024-07-14T00:00:00"/>
    <x v="0"/>
    <s v="Your weekend playlist is waiting."/>
    <n v="3806"/>
    <n v="114"/>
    <n v="278"/>
    <n v="36148"/>
    <n v="24209"/>
    <n v="201"/>
    <x v="4"/>
    <x v="1"/>
    <n v="0.11613367267898639"/>
    <n v="225"/>
  </r>
  <r>
    <s v="SP046"/>
    <x v="0"/>
    <d v="2024-02-12T00:00:00"/>
    <x v="0"/>
    <s v="Explore the latest podcasts now."/>
    <n v="2923"/>
    <n v="330"/>
    <n v="250"/>
    <n v="23993"/>
    <n v="74590"/>
    <n v="92"/>
    <x v="2"/>
    <x v="1"/>
    <n v="0.14600091693410577"/>
    <n v="449"/>
  </r>
  <r>
    <s v="SP047"/>
    <x v="2"/>
    <d v="2024-03-14T00:00:00"/>
    <x v="2"/>
    <s v="From pop to podcasts, itâ€™s all here."/>
    <n v="3361"/>
    <n v="188"/>
    <n v="358"/>
    <n v="39838"/>
    <n v="24536"/>
    <n v="120"/>
    <x v="2"/>
    <x v="3"/>
    <n v="9.8072192379135503E-2"/>
    <n v="391"/>
  </r>
  <r>
    <s v="SP047"/>
    <x v="2"/>
    <d v="2024-03-14T00:00:00"/>
    <x v="2"/>
    <s v="From pop to podcasts, itâ€™s all here."/>
    <n v="3361"/>
    <n v="188"/>
    <n v="358"/>
    <n v="39838"/>
    <n v="24536"/>
    <n v="120"/>
    <x v="0"/>
    <x v="3"/>
    <n v="9.8072192379135503E-2"/>
    <n v="391"/>
  </r>
  <r>
    <s v="SP048"/>
    <x v="0"/>
    <d v="2025-02-05T00:00:00"/>
    <x v="1"/>
    <s v="Music that moves youâ€”only on Spotify."/>
    <n v="3074"/>
    <n v="371"/>
    <n v="348"/>
    <n v="24104"/>
    <n v="57803"/>
    <n v="213"/>
    <x v="1"/>
    <x v="2"/>
    <n v="0.15735977431131762"/>
    <n v="193"/>
  </r>
  <r>
    <s v="SP049"/>
    <x v="1"/>
    <d v="2024-08-29T00:00:00"/>
    <x v="1"/>
    <s v="Get into the groove with our new drop!"/>
    <n v="4276"/>
    <n v="227"/>
    <n v="223"/>
    <n v="43443"/>
    <n v="41005"/>
    <n v="191"/>
    <x v="2"/>
    <x v="0"/>
    <n v="0.1087862256289851"/>
    <n v="246"/>
  </r>
  <r>
    <s v="SP049"/>
    <x v="1"/>
    <d v="2024-08-29T00:00:00"/>
    <x v="1"/>
    <s v="Get into the groove with our new drop!"/>
    <n v="4276"/>
    <n v="227"/>
    <n v="223"/>
    <n v="43443"/>
    <n v="41005"/>
    <n v="191"/>
    <x v="3"/>
    <x v="0"/>
    <n v="0.1087862256289851"/>
    <n v="246"/>
  </r>
  <r>
    <s v="SP050"/>
    <x v="1"/>
    <d v="2025-04-22T00:00:00"/>
    <x v="0"/>
    <s v="Discover fresh beats on Spotify!"/>
    <n v="4401"/>
    <n v="421"/>
    <n v="216"/>
    <n v="24890"/>
    <n v="54361"/>
    <n v="148"/>
    <x v="1"/>
    <x v="0"/>
    <n v="0.20241060666934513"/>
    <n v="344"/>
  </r>
  <r>
    <s v="SP051"/>
    <x v="2"/>
    <d v="2024-05-13T00:00:00"/>
    <x v="2"/>
    <s v="Explore the latest podcasts now."/>
    <n v="4161"/>
    <n v="481"/>
    <n v="61"/>
    <n v="45884"/>
    <n v="48955"/>
    <n v="215"/>
    <x v="2"/>
    <x v="3"/>
    <n v="0.10249760265016128"/>
    <n v="189"/>
  </r>
  <r>
    <s v="SP051"/>
    <x v="2"/>
    <d v="2024-05-13T00:00:00"/>
    <x v="2"/>
    <s v="Explore the latest podcasts now."/>
    <n v="4161"/>
    <n v="481"/>
    <n v="61"/>
    <n v="45884"/>
    <n v="48955"/>
    <n v="215"/>
    <x v="0"/>
    <x v="3"/>
    <n v="0.10249760265016128"/>
    <n v="189"/>
  </r>
  <r>
    <s v="SP052"/>
    <x v="1"/>
    <d v="2024-09-04T00:00:00"/>
    <x v="1"/>
    <s v="New music just dropped. Hit play!"/>
    <n v="2613"/>
    <n v="455"/>
    <n v="228"/>
    <n v="21645"/>
    <n v="61334"/>
    <n v="261"/>
    <x v="2"/>
    <x v="0"/>
    <n v="0.15227535227535227"/>
    <n v="104"/>
  </r>
  <r>
    <s v="SP052"/>
    <x v="1"/>
    <d v="2024-09-04T00:00:00"/>
    <x v="1"/>
    <s v="New music just dropped. Hit play!"/>
    <n v="2613"/>
    <n v="455"/>
    <n v="228"/>
    <n v="21645"/>
    <n v="61334"/>
    <n v="261"/>
    <x v="3"/>
    <x v="0"/>
    <n v="0.15227535227535227"/>
    <n v="104"/>
  </r>
  <r>
    <s v="SP053"/>
    <x v="1"/>
    <d v="2024-08-12T00:00:00"/>
    <x v="1"/>
    <s v="Whatâ€™s your vibe today? #SpotifyHits"/>
    <n v="2842"/>
    <n v="213"/>
    <n v="331"/>
    <n v="57660"/>
    <n v="68606"/>
    <n v="87"/>
    <x v="3"/>
    <x v="0"/>
    <n v="5.8723551855705859E-2"/>
    <n v="463"/>
  </r>
  <r>
    <s v="SP053"/>
    <x v="1"/>
    <d v="2024-08-12T00:00:00"/>
    <x v="1"/>
    <s v="Whatâ€™s your vibe today? #SpotifyHits"/>
    <n v="2842"/>
    <n v="213"/>
    <n v="331"/>
    <n v="57660"/>
    <n v="68606"/>
    <n v="87"/>
    <x v="1"/>
    <x v="0"/>
    <n v="5.8723551855705859E-2"/>
    <n v="463"/>
  </r>
  <r>
    <s v="SP054"/>
    <x v="0"/>
    <d v="2025-03-06T00:00:00"/>
    <x v="0"/>
    <s v="Get into the groove with our new drop!"/>
    <n v="4851"/>
    <n v="460"/>
    <n v="212"/>
    <n v="58075"/>
    <n v="59574"/>
    <n v="239"/>
    <x v="2"/>
    <x v="1"/>
    <n v="9.5101162290142052E-2"/>
    <n v="133"/>
  </r>
  <r>
    <s v="SP055"/>
    <x v="1"/>
    <d v="2024-05-08T00:00:00"/>
    <x v="0"/>
    <s v="Explore the latest podcasts now."/>
    <n v="1828"/>
    <n v="450"/>
    <n v="214"/>
    <n v="52115"/>
    <n v="19166"/>
    <n v="190"/>
    <x v="1"/>
    <x v="0"/>
    <n v="4.781732706514439E-2"/>
    <n v="249"/>
  </r>
  <r>
    <s v="SP056"/>
    <x v="0"/>
    <d v="2025-02-19T00:00:00"/>
    <x v="1"/>
    <s v="From pop to podcasts, itâ€™s all here."/>
    <n v="2422"/>
    <n v="455"/>
    <n v="376"/>
    <n v="23428"/>
    <n v="46775"/>
    <n v="259"/>
    <x v="1"/>
    <x v="2"/>
    <n v="0.13885094758408742"/>
    <n v="106"/>
  </r>
  <r>
    <s v="SP057"/>
    <x v="0"/>
    <d v="2024-01-08T00:00:00"/>
    <x v="0"/>
    <s v="Top trending tracks updated daily!"/>
    <n v="2683"/>
    <n v="405"/>
    <n v="223"/>
    <n v="31233"/>
    <n v="58106"/>
    <n v="291"/>
    <x v="2"/>
    <x v="1"/>
    <n v="0.10600966926007749"/>
    <n v="19"/>
  </r>
  <r>
    <s v="SP058"/>
    <x v="2"/>
    <d v="2024-07-17T00:00:00"/>
    <x v="0"/>
    <s v="Top trending tracks updated daily!"/>
    <n v="3135"/>
    <n v="110"/>
    <n v="215"/>
    <n v="39192"/>
    <n v="24744"/>
    <n v="177"/>
    <x v="2"/>
    <x v="1"/>
    <n v="8.8283323127168814E-2"/>
    <n v="270"/>
  </r>
  <r>
    <s v="SP058"/>
    <x v="2"/>
    <d v="2024-07-17T00:00:00"/>
    <x v="0"/>
    <s v="Top trending tracks updated daily!"/>
    <n v="3135"/>
    <n v="110"/>
    <n v="215"/>
    <n v="39192"/>
    <n v="24744"/>
    <n v="177"/>
    <x v="4"/>
    <x v="1"/>
    <n v="8.8283323127168814E-2"/>
    <n v="270"/>
  </r>
  <r>
    <s v="SP059"/>
    <x v="2"/>
    <d v="2024-08-10T00:00:00"/>
    <x v="0"/>
    <s v="From pop to podcasts, itâ€™s all here."/>
    <n v="1105"/>
    <n v="181"/>
    <n v="55"/>
    <n v="53581"/>
    <n v="74048"/>
    <n v="220"/>
    <x v="2"/>
    <x v="1"/>
    <n v="2.50275284149232E-2"/>
    <n v="178"/>
  </r>
  <r>
    <s v="SP059"/>
    <x v="2"/>
    <d v="2024-08-10T00:00:00"/>
    <x v="0"/>
    <s v="From pop to podcasts, itâ€™s all here."/>
    <n v="1105"/>
    <n v="181"/>
    <n v="55"/>
    <n v="53581"/>
    <n v="74048"/>
    <n v="220"/>
    <x v="4"/>
    <x v="1"/>
    <n v="2.50275284149232E-2"/>
    <n v="178"/>
  </r>
  <r>
    <s v="SP060"/>
    <x v="2"/>
    <d v="2024-04-16T00:00:00"/>
    <x v="0"/>
    <s v="Discover fresh beats on Spotify!"/>
    <n v="4674"/>
    <n v="326"/>
    <n v="62"/>
    <n v="45503"/>
    <n v="46814"/>
    <n v="116"/>
    <x v="2"/>
    <x v="1"/>
    <n v="0.11124541239039185"/>
    <n v="402"/>
  </r>
  <r>
    <s v="SP060"/>
    <x v="2"/>
    <d v="2024-04-16T00:00:00"/>
    <x v="0"/>
    <s v="Discover fresh beats on Spotify!"/>
    <n v="4674"/>
    <n v="326"/>
    <n v="62"/>
    <n v="45503"/>
    <n v="46814"/>
    <n v="116"/>
    <x v="4"/>
    <x v="1"/>
    <n v="0.11124541239039185"/>
    <n v="402"/>
  </r>
  <r>
    <s v="SP061"/>
    <x v="2"/>
    <d v="2024-01-01T00:00:00"/>
    <x v="2"/>
    <s v="Explore the latest podcasts now."/>
    <n v="3437"/>
    <n v="129"/>
    <n v="359"/>
    <n v="44558"/>
    <n v="30854"/>
    <n v="171"/>
    <x v="2"/>
    <x v="3"/>
    <n v="8.8087436599488311E-2"/>
    <n v="292"/>
  </r>
  <r>
    <s v="SP061"/>
    <x v="2"/>
    <d v="2024-01-01T00:00:00"/>
    <x v="2"/>
    <s v="Explore the latest podcasts now."/>
    <n v="3437"/>
    <n v="129"/>
    <n v="359"/>
    <n v="44558"/>
    <n v="30854"/>
    <n v="171"/>
    <x v="0"/>
    <x v="3"/>
    <n v="8.8087436599488311E-2"/>
    <n v="292"/>
  </r>
  <r>
    <s v="SP062"/>
    <x v="1"/>
    <d v="2024-11-03T00:00:00"/>
    <x v="1"/>
    <s v="Wrapped is here! Relive your top tracks ðŸŽ§"/>
    <n v="1959"/>
    <n v="316"/>
    <n v="82"/>
    <n v="54036"/>
    <n v="69015"/>
    <n v="182"/>
    <x v="3"/>
    <x v="0"/>
    <n v="4.3619068768968837E-2"/>
    <n v="259"/>
  </r>
  <r>
    <s v="SP062"/>
    <x v="1"/>
    <d v="2024-11-03T00:00:00"/>
    <x v="1"/>
    <s v="Wrapped is here! Relive your top tracks ðŸŽ§"/>
    <n v="1959"/>
    <n v="316"/>
    <n v="82"/>
    <n v="54036"/>
    <n v="69015"/>
    <n v="182"/>
    <x v="1"/>
    <x v="0"/>
    <n v="4.3619068768968837E-2"/>
    <n v="259"/>
  </r>
  <r>
    <s v="SP063"/>
    <x v="1"/>
    <d v="2024-07-07T00:00:00"/>
    <x v="0"/>
    <s v="New music just dropped. Hit play!"/>
    <n v="1035"/>
    <n v="137"/>
    <n v="184"/>
    <n v="37302"/>
    <n v="68953"/>
    <n v="237"/>
    <x v="0"/>
    <x v="1"/>
    <n v="3.6351938233874857E-2"/>
    <n v="137"/>
  </r>
  <r>
    <s v="SP064"/>
    <x v="1"/>
    <d v="2025-01-22T00:00:00"/>
    <x v="1"/>
    <s v="New music just dropped. Hit play!"/>
    <n v="4478"/>
    <n v="101"/>
    <n v="121"/>
    <n v="51035"/>
    <n v="58207"/>
    <n v="205"/>
    <x v="3"/>
    <x v="0"/>
    <n v="9.2093661212893113E-2"/>
    <n v="214"/>
  </r>
  <r>
    <s v="SP064"/>
    <x v="1"/>
    <d v="2025-01-22T00:00:00"/>
    <x v="1"/>
    <s v="New music just dropped. Hit play!"/>
    <n v="4478"/>
    <n v="101"/>
    <n v="121"/>
    <n v="51035"/>
    <n v="58207"/>
    <n v="205"/>
    <x v="1"/>
    <x v="0"/>
    <n v="9.2093661212893113E-2"/>
    <n v="214"/>
  </r>
  <r>
    <s v="SP065"/>
    <x v="2"/>
    <d v="2024-05-26T00:00:00"/>
    <x v="0"/>
    <s v="From pop to podcasts, itâ€™s all here."/>
    <n v="1488"/>
    <n v="327"/>
    <n v="110"/>
    <n v="53805"/>
    <n v="30239"/>
    <n v="109"/>
    <x v="2"/>
    <x v="1"/>
    <n v="3.5777344113000653E-2"/>
    <n v="421"/>
  </r>
  <r>
    <s v="SP065"/>
    <x v="2"/>
    <d v="2024-05-26T00:00:00"/>
    <x v="0"/>
    <s v="From pop to podcasts, itâ€™s all here."/>
    <n v="1488"/>
    <n v="327"/>
    <n v="110"/>
    <n v="53805"/>
    <n v="30239"/>
    <n v="109"/>
    <x v="4"/>
    <x v="1"/>
    <n v="3.5777344113000653E-2"/>
    <n v="421"/>
  </r>
  <r>
    <s v="SP066"/>
    <x v="0"/>
    <d v="2025-04-16T00:00:00"/>
    <x v="0"/>
    <s v="Wrapped is here! Relive your top tracks ðŸŽ§"/>
    <n v="4836"/>
    <n v="331"/>
    <n v="140"/>
    <n v="58792"/>
    <n v="47711"/>
    <n v="227"/>
    <x v="0"/>
    <x v="0"/>
    <n v="9.0267383317458164E-2"/>
    <n v="163"/>
  </r>
  <r>
    <s v="SP066"/>
    <x v="0"/>
    <d v="2025-04-16T00:00:00"/>
    <x v="0"/>
    <s v="Wrapped is here! Relive your top tracks ðŸŽ§"/>
    <n v="4836"/>
    <n v="331"/>
    <n v="140"/>
    <n v="58792"/>
    <n v="47711"/>
    <n v="227"/>
    <x v="1"/>
    <x v="0"/>
    <n v="9.0267383317458164E-2"/>
    <n v="163"/>
  </r>
  <r>
    <s v="SP067"/>
    <x v="2"/>
    <d v="2024-04-02T00:00:00"/>
    <x v="2"/>
    <s v="Your weekend playlist is waiting."/>
    <n v="4563"/>
    <n v="488"/>
    <n v="356"/>
    <n v="30619"/>
    <n v="23328"/>
    <n v="267"/>
    <x v="2"/>
    <x v="3"/>
    <n v="0.17658969920637513"/>
    <n v="86"/>
  </r>
  <r>
    <s v="SP067"/>
    <x v="2"/>
    <d v="2024-04-02T00:00:00"/>
    <x v="2"/>
    <s v="Your weekend playlist is waiting."/>
    <n v="4563"/>
    <n v="488"/>
    <n v="356"/>
    <n v="30619"/>
    <n v="23328"/>
    <n v="267"/>
    <x v="0"/>
    <x v="3"/>
    <n v="0.17658969920637513"/>
    <n v="86"/>
  </r>
  <r>
    <s v="SP068"/>
    <x v="1"/>
    <d v="2024-03-28T00:00:00"/>
    <x v="0"/>
    <s v="Music that moves youâ€”only on Spotify."/>
    <n v="3276"/>
    <n v="421"/>
    <n v="114"/>
    <n v="20580"/>
    <n v="30324"/>
    <n v="221"/>
    <x v="0"/>
    <x v="1"/>
    <n v="0.18517978620019437"/>
    <n v="175"/>
  </r>
  <r>
    <s v="SP069"/>
    <x v="1"/>
    <d v="2024-12-17T00:00:00"/>
    <x v="1"/>
    <s v="Music that moves youâ€”only on Spotify."/>
    <n v="1316"/>
    <n v="472"/>
    <n v="286"/>
    <n v="44692"/>
    <n v="53343"/>
    <n v="227"/>
    <x v="2"/>
    <x v="0"/>
    <n v="4.6406515707509172E-2"/>
    <n v="163"/>
  </r>
  <r>
    <s v="SP069"/>
    <x v="1"/>
    <d v="2024-12-17T00:00:00"/>
    <x v="1"/>
    <s v="Music that moves youâ€”only on Spotify."/>
    <n v="1316"/>
    <n v="472"/>
    <n v="286"/>
    <n v="44692"/>
    <n v="53343"/>
    <n v="227"/>
    <x v="3"/>
    <x v="0"/>
    <n v="4.6406515707509172E-2"/>
    <n v="163"/>
  </r>
  <r>
    <s v="SP070"/>
    <x v="1"/>
    <d v="2025-01-05T00:00:00"/>
    <x v="0"/>
    <s v="Wrapped is here! Relive your top tracks ðŸŽ§"/>
    <n v="4811"/>
    <n v="473"/>
    <n v="254"/>
    <n v="51964"/>
    <n v="68795"/>
    <n v="107"/>
    <x v="1"/>
    <x v="0"/>
    <n v="0.10657378184897237"/>
    <n v="425"/>
  </r>
  <r>
    <s v="SP071"/>
    <x v="1"/>
    <d v="2024-01-11T00:00:00"/>
    <x v="0"/>
    <s v="Whatâ€™s your vibe today? #SpotifyHits"/>
    <n v="4218"/>
    <n v="247"/>
    <n v="183"/>
    <n v="28914"/>
    <n v="18310"/>
    <n v="135"/>
    <x v="0"/>
    <x v="1"/>
    <n v="0.1607525766064882"/>
    <n v="363"/>
  </r>
  <r>
    <s v="SP072"/>
    <x v="0"/>
    <d v="2024-10-11T00:00:00"/>
    <x v="0"/>
    <s v="From pop to podcasts, itâ€™s all here."/>
    <n v="1360"/>
    <n v="249"/>
    <n v="52"/>
    <n v="20368"/>
    <n v="42152"/>
    <n v="193"/>
    <x v="2"/>
    <x v="1"/>
    <n v="8.1549489395129612E-2"/>
    <n v="245"/>
  </r>
  <r>
    <s v="SP073"/>
    <x v="2"/>
    <d v="2025-05-06T00:00:00"/>
    <x v="2"/>
    <s v="Discover fresh beats on Spotify!"/>
    <n v="1085"/>
    <n v="496"/>
    <n v="320"/>
    <n v="36528"/>
    <n v="38599"/>
    <n v="270"/>
    <x v="2"/>
    <x v="3"/>
    <n v="5.2042268944371438E-2"/>
    <n v="73"/>
  </r>
  <r>
    <s v="SP073"/>
    <x v="2"/>
    <d v="2025-05-06T00:00:00"/>
    <x v="2"/>
    <s v="Discover fresh beats on Spotify!"/>
    <n v="1085"/>
    <n v="496"/>
    <n v="320"/>
    <n v="36528"/>
    <n v="38599"/>
    <n v="270"/>
    <x v="0"/>
    <x v="3"/>
    <n v="5.2042268944371438E-2"/>
    <n v="73"/>
  </r>
  <r>
    <s v="SP074"/>
    <x v="1"/>
    <d v="2024-05-19T00:00:00"/>
    <x v="1"/>
    <s v="Get into the groove with our new drop!"/>
    <n v="1763"/>
    <n v="206"/>
    <n v="187"/>
    <n v="53342"/>
    <n v="25095"/>
    <n v="88"/>
    <x v="2"/>
    <x v="0"/>
    <n v="4.0418432004799221E-2"/>
    <n v="457"/>
  </r>
  <r>
    <s v="SP074"/>
    <x v="1"/>
    <d v="2024-05-19T00:00:00"/>
    <x v="1"/>
    <s v="Get into the groove with our new drop!"/>
    <n v="1763"/>
    <n v="206"/>
    <n v="187"/>
    <n v="53342"/>
    <n v="25095"/>
    <n v="88"/>
    <x v="3"/>
    <x v="0"/>
    <n v="4.0418432004799221E-2"/>
    <n v="457"/>
  </r>
  <r>
    <s v="SP075"/>
    <x v="1"/>
    <d v="2024-01-22T00:00:00"/>
    <x v="1"/>
    <s v="From pop to podcasts, itâ€™s all here."/>
    <n v="1554"/>
    <n v="455"/>
    <n v="158"/>
    <n v="41947"/>
    <n v="48578"/>
    <n v="101"/>
    <x v="0"/>
    <x v="0"/>
    <n v="5.1660428636136076E-2"/>
    <n v="436"/>
  </r>
  <r>
    <s v="SP075"/>
    <x v="1"/>
    <d v="2024-01-22T00:00:00"/>
    <x v="1"/>
    <s v="From pop to podcasts, itâ€™s all here."/>
    <n v="1554"/>
    <n v="455"/>
    <n v="158"/>
    <n v="41947"/>
    <n v="48578"/>
    <n v="101"/>
    <x v="1"/>
    <x v="0"/>
    <n v="5.1660428636136076E-2"/>
    <n v="436"/>
  </r>
  <r>
    <s v="SP076"/>
    <x v="0"/>
    <d v="2024-07-14T00:00:00"/>
    <x v="0"/>
    <s v="Wrapped is here! Relive your top tracks ðŸŽ§"/>
    <n v="2464"/>
    <n v="401"/>
    <n v="78"/>
    <n v="38665"/>
    <n v="73593"/>
    <n v="207"/>
    <x v="2"/>
    <x v="1"/>
    <n v="7.611534979956032E-2"/>
    <n v="211"/>
  </r>
  <r>
    <s v="SP077"/>
    <x v="1"/>
    <d v="2025-05-28T00:00:00"/>
    <x v="0"/>
    <s v="From pop to podcasts, itâ€™s all here."/>
    <n v="2418"/>
    <n v="161"/>
    <n v="360"/>
    <n v="30589"/>
    <n v="41383"/>
    <n v="88"/>
    <x v="1"/>
    <x v="0"/>
    <n v="9.6080290300434801E-2"/>
    <n v="457"/>
  </r>
  <r>
    <s v="SP078"/>
    <x v="1"/>
    <d v="2025-01-21T00:00:00"/>
    <x v="1"/>
    <s v="Discover fresh beats on Spotify!"/>
    <n v="2494"/>
    <n v="494"/>
    <n v="55"/>
    <n v="22580"/>
    <n v="22214"/>
    <n v="109"/>
    <x v="3"/>
    <x v="0"/>
    <n v="0.13476527900797167"/>
    <n v="421"/>
  </r>
  <r>
    <s v="SP078"/>
    <x v="1"/>
    <d v="2025-01-21T00:00:00"/>
    <x v="1"/>
    <s v="Discover fresh beats on Spotify!"/>
    <n v="2494"/>
    <n v="494"/>
    <n v="55"/>
    <n v="22580"/>
    <n v="22214"/>
    <n v="109"/>
    <x v="1"/>
    <x v="0"/>
    <n v="0.13476527900797167"/>
    <n v="421"/>
  </r>
  <r>
    <s v="SP079"/>
    <x v="2"/>
    <d v="2024-01-13T00:00:00"/>
    <x v="2"/>
    <s v="New music just dropped. Hit play!"/>
    <n v="4781"/>
    <n v="191"/>
    <n v="122"/>
    <n v="35535"/>
    <n v="50777"/>
    <n v="128"/>
    <x v="2"/>
    <x v="3"/>
    <n v="0.14335162515829464"/>
    <n v="378"/>
  </r>
  <r>
    <s v="SP079"/>
    <x v="2"/>
    <d v="2024-01-13T00:00:00"/>
    <x v="2"/>
    <s v="New music just dropped. Hit play!"/>
    <n v="4781"/>
    <n v="191"/>
    <n v="122"/>
    <n v="35535"/>
    <n v="50777"/>
    <n v="128"/>
    <x v="0"/>
    <x v="3"/>
    <n v="0.14335162515829464"/>
    <n v="378"/>
  </r>
  <r>
    <s v="SP080"/>
    <x v="0"/>
    <d v="2025-06-17T00:00:00"/>
    <x v="0"/>
    <s v="Music that moves youâ€”only on Spotify."/>
    <n v="2284"/>
    <n v="187"/>
    <n v="260"/>
    <n v="37400"/>
    <n v="65014"/>
    <n v="157"/>
    <x v="0"/>
    <x v="0"/>
    <n v="7.3021390374331557E-2"/>
    <n v="327"/>
  </r>
  <r>
    <s v="SP080"/>
    <x v="0"/>
    <d v="2025-06-17T00:00:00"/>
    <x v="0"/>
    <s v="Music that moves youâ€”only on Spotify."/>
    <n v="2284"/>
    <n v="187"/>
    <n v="260"/>
    <n v="37400"/>
    <n v="65014"/>
    <n v="157"/>
    <x v="1"/>
    <x v="0"/>
    <n v="7.3021390374331557E-2"/>
    <n v="327"/>
  </r>
  <r>
    <s v="SP081"/>
    <x v="1"/>
    <d v="2025-03-07T00:00:00"/>
    <x v="0"/>
    <s v="Get into the groove with our new drop!"/>
    <n v="4234"/>
    <n v="486"/>
    <n v="276"/>
    <n v="56623"/>
    <n v="41343"/>
    <n v="184"/>
    <x v="0"/>
    <x v="1"/>
    <n v="8.8232696960599044E-2"/>
    <n v="255"/>
  </r>
  <r>
    <s v="SP082"/>
    <x v="0"/>
    <d v="2024-08-26T00:00:00"/>
    <x v="0"/>
    <s v="Your weekend playlist is waiting."/>
    <n v="2102"/>
    <n v="181"/>
    <n v="306"/>
    <n v="43650"/>
    <n v="50079"/>
    <n v="182"/>
    <x v="2"/>
    <x v="1"/>
    <n v="5.9312714776632303E-2"/>
    <n v="259"/>
  </r>
  <r>
    <s v="SP083"/>
    <x v="1"/>
    <d v="2025-01-03T00:00:00"/>
    <x v="1"/>
    <s v="Get into the groove with our new drop!"/>
    <n v="4845"/>
    <n v="158"/>
    <n v="84"/>
    <n v="34578"/>
    <n v="51480"/>
    <n v="180"/>
    <x v="0"/>
    <x v="0"/>
    <n v="0.1471166637746544"/>
    <n v="263"/>
  </r>
  <r>
    <s v="SP083"/>
    <x v="1"/>
    <d v="2025-01-03T00:00:00"/>
    <x v="1"/>
    <s v="Get into the groove with our new drop!"/>
    <n v="4845"/>
    <n v="158"/>
    <n v="84"/>
    <n v="34578"/>
    <n v="51480"/>
    <n v="180"/>
    <x v="1"/>
    <x v="0"/>
    <n v="0.1471166637746544"/>
    <n v="263"/>
  </r>
  <r>
    <s v="SP084"/>
    <x v="1"/>
    <d v="2024-08-03T00:00:00"/>
    <x v="0"/>
    <s v="Your weekend playlist is waiting."/>
    <n v="4247"/>
    <n v="390"/>
    <n v="213"/>
    <n v="29785"/>
    <n v="57768"/>
    <n v="122"/>
    <x v="1"/>
    <x v="0"/>
    <n v="0.16283364109451065"/>
    <n v="386"/>
  </r>
  <r>
    <s v="SP085"/>
    <x v="0"/>
    <d v="2024-08-18T00:00:00"/>
    <x v="0"/>
    <s v="Explore the latest podcasts now."/>
    <n v="2965"/>
    <n v="328"/>
    <n v="171"/>
    <n v="57685"/>
    <n v="67536"/>
    <n v="264"/>
    <x v="0"/>
    <x v="0"/>
    <n v="6.0050273034584378E-2"/>
    <n v="96"/>
  </r>
  <r>
    <s v="SP085"/>
    <x v="0"/>
    <d v="2024-08-18T00:00:00"/>
    <x v="0"/>
    <s v="Explore the latest podcasts now."/>
    <n v="2965"/>
    <n v="328"/>
    <n v="171"/>
    <n v="57685"/>
    <n v="67536"/>
    <n v="264"/>
    <x v="1"/>
    <x v="0"/>
    <n v="6.0050273034584378E-2"/>
    <n v="96"/>
  </r>
  <r>
    <s v="SP086"/>
    <x v="1"/>
    <d v="2025-05-14T00:00:00"/>
    <x v="1"/>
    <s v="Wrapped is here! Relive your top tracks ðŸŽ§"/>
    <n v="1371"/>
    <n v="139"/>
    <n v="96"/>
    <n v="36140"/>
    <n v="39395"/>
    <n v="169"/>
    <x v="0"/>
    <x v="0"/>
    <n v="4.4438295517432211E-2"/>
    <n v="297"/>
  </r>
  <r>
    <s v="SP086"/>
    <x v="1"/>
    <d v="2025-05-14T00:00:00"/>
    <x v="1"/>
    <s v="Wrapped is here! Relive your top tracks ðŸŽ§"/>
    <n v="1371"/>
    <n v="139"/>
    <n v="96"/>
    <n v="36140"/>
    <n v="39395"/>
    <n v="169"/>
    <x v="1"/>
    <x v="0"/>
    <n v="4.4438295517432211E-2"/>
    <n v="297"/>
  </r>
  <r>
    <s v="SP087"/>
    <x v="1"/>
    <d v="2024-04-23T00:00:00"/>
    <x v="1"/>
    <s v="Discover fresh beats on Spotify!"/>
    <n v="2683"/>
    <n v="496"/>
    <n v="89"/>
    <n v="53435"/>
    <n v="30334"/>
    <n v="160"/>
    <x v="0"/>
    <x v="0"/>
    <n v="6.1158416768035934E-2"/>
    <n v="314"/>
  </r>
  <r>
    <s v="SP087"/>
    <x v="1"/>
    <d v="2024-04-23T00:00:00"/>
    <x v="1"/>
    <s v="Discover fresh beats on Spotify!"/>
    <n v="2683"/>
    <n v="496"/>
    <n v="89"/>
    <n v="53435"/>
    <n v="30334"/>
    <n v="160"/>
    <x v="1"/>
    <x v="0"/>
    <n v="6.1158416768035934E-2"/>
    <n v="314"/>
  </r>
  <r>
    <s v="SP088"/>
    <x v="1"/>
    <d v="2025-02-17T00:00:00"/>
    <x v="1"/>
    <s v="Whatâ€™s your vibe today? #SpotifyHits"/>
    <n v="4796"/>
    <n v="427"/>
    <n v="339"/>
    <n v="30752"/>
    <n v="33870"/>
    <n v="298"/>
    <x v="0"/>
    <x v="0"/>
    <n v="0.18086628511966701"/>
    <n v="3"/>
  </r>
  <r>
    <s v="SP088"/>
    <x v="1"/>
    <d v="2025-02-17T00:00:00"/>
    <x v="1"/>
    <s v="Whatâ€™s your vibe today? #SpotifyHits"/>
    <n v="4796"/>
    <n v="427"/>
    <n v="339"/>
    <n v="30752"/>
    <n v="33870"/>
    <n v="298"/>
    <x v="1"/>
    <x v="0"/>
    <n v="0.18086628511966701"/>
    <n v="3"/>
  </r>
  <r>
    <s v="SP089"/>
    <x v="0"/>
    <d v="2024-12-04T00:00:00"/>
    <x v="0"/>
    <s v="Wrapped is here! Relive your top tracks ðŸŽ§"/>
    <n v="2601"/>
    <n v="336"/>
    <n v="260"/>
    <n v="32368"/>
    <n v="49028"/>
    <n v="120"/>
    <x v="0"/>
    <x v="0"/>
    <n v="9.8770390509144837E-2"/>
    <n v="391"/>
  </r>
  <r>
    <s v="SP089"/>
    <x v="0"/>
    <d v="2024-12-04T00:00:00"/>
    <x v="0"/>
    <s v="Wrapped is here! Relive your top tracks ðŸŽ§"/>
    <n v="2601"/>
    <n v="336"/>
    <n v="260"/>
    <n v="32368"/>
    <n v="49028"/>
    <n v="120"/>
    <x v="1"/>
    <x v="0"/>
    <n v="9.8770390509144837E-2"/>
    <n v="391"/>
  </r>
  <r>
    <s v="SP090"/>
    <x v="1"/>
    <d v="2024-07-22T00:00:00"/>
    <x v="1"/>
    <s v="Wrapped is here! Relive your top tracks ðŸŽ§"/>
    <n v="3336"/>
    <n v="229"/>
    <n v="337"/>
    <n v="22117"/>
    <n v="26205"/>
    <n v="160"/>
    <x v="3"/>
    <x v="0"/>
    <n v="0.17642537414658407"/>
    <n v="314"/>
  </r>
  <r>
    <s v="SP090"/>
    <x v="1"/>
    <d v="2024-07-22T00:00:00"/>
    <x v="1"/>
    <s v="Wrapped is here! Relive your top tracks ðŸŽ§"/>
    <n v="3336"/>
    <n v="229"/>
    <n v="337"/>
    <n v="22117"/>
    <n v="26205"/>
    <n v="160"/>
    <x v="1"/>
    <x v="0"/>
    <n v="0.17642537414658407"/>
    <n v="314"/>
  </r>
  <r>
    <s v="SP091"/>
    <x v="1"/>
    <d v="2025-04-27T00:00:00"/>
    <x v="0"/>
    <s v="Explore the latest podcasts now."/>
    <n v="1165"/>
    <n v="294"/>
    <n v="163"/>
    <n v="20659"/>
    <n v="45926"/>
    <n v="111"/>
    <x v="0"/>
    <x v="1"/>
    <n v="7.8512996756861422E-2"/>
    <n v="416"/>
  </r>
  <r>
    <s v="SP092"/>
    <x v="2"/>
    <d v="2024-03-25T00:00:00"/>
    <x v="2"/>
    <s v="Explore the latest podcasts now."/>
    <n v="1948"/>
    <n v="155"/>
    <n v="315"/>
    <n v="30321"/>
    <n v="57121"/>
    <n v="82"/>
    <x v="2"/>
    <x v="3"/>
    <n v="7.974671020085089E-2"/>
    <n v="477"/>
  </r>
  <r>
    <s v="SP092"/>
    <x v="2"/>
    <d v="2024-03-25T00:00:00"/>
    <x v="2"/>
    <s v="Explore the latest podcasts now."/>
    <n v="1948"/>
    <n v="155"/>
    <n v="315"/>
    <n v="30321"/>
    <n v="57121"/>
    <n v="82"/>
    <x v="0"/>
    <x v="3"/>
    <n v="7.974671020085089E-2"/>
    <n v="477"/>
  </r>
  <r>
    <s v="SP093"/>
    <x v="0"/>
    <d v="2024-02-29T00:00:00"/>
    <x v="0"/>
    <s v="From pop to podcasts, itâ€™s all here."/>
    <n v="1100"/>
    <n v="229"/>
    <n v="312"/>
    <n v="25641"/>
    <n v="34601"/>
    <n v="169"/>
    <x v="2"/>
    <x v="1"/>
    <n v="6.3999063999063993E-2"/>
    <n v="297"/>
  </r>
  <r>
    <s v="SP094"/>
    <x v="1"/>
    <d v="2024-11-13T00:00:00"/>
    <x v="1"/>
    <s v="Top trending tracks updated daily!"/>
    <n v="4628"/>
    <n v="257"/>
    <n v="397"/>
    <n v="36686"/>
    <n v="54683"/>
    <n v="98"/>
    <x v="0"/>
    <x v="0"/>
    <n v="0.1439786294499264"/>
    <n v="442"/>
  </r>
  <r>
    <s v="SP094"/>
    <x v="1"/>
    <d v="2024-11-13T00:00:00"/>
    <x v="1"/>
    <s v="Top trending tracks updated daily!"/>
    <n v="4628"/>
    <n v="257"/>
    <n v="397"/>
    <n v="36686"/>
    <n v="54683"/>
    <n v="98"/>
    <x v="1"/>
    <x v="0"/>
    <n v="0.1439786294499264"/>
    <n v="442"/>
  </r>
  <r>
    <s v="SP095"/>
    <x v="0"/>
    <d v="2024-03-22T00:00:00"/>
    <x v="1"/>
    <s v="Discover fresh beats on Spotify!"/>
    <n v="2319"/>
    <n v="484"/>
    <n v="193"/>
    <n v="21202"/>
    <n v="18091"/>
    <n v="241"/>
    <x v="1"/>
    <x v="2"/>
    <n v="0.14130742382794076"/>
    <n v="126"/>
  </r>
  <r>
    <s v="SP096"/>
    <x v="1"/>
    <d v="2024-03-16T00:00:00"/>
    <x v="1"/>
    <s v="Wrapped is here! Relive your top tracks ðŸŽ§"/>
    <n v="2895"/>
    <n v="292"/>
    <n v="90"/>
    <n v="24223"/>
    <n v="54626"/>
    <n v="114"/>
    <x v="0"/>
    <x v="0"/>
    <n v="0.13528464682326713"/>
    <n v="404"/>
  </r>
  <r>
    <s v="SP096"/>
    <x v="1"/>
    <d v="2024-03-16T00:00:00"/>
    <x v="1"/>
    <s v="Wrapped is here! Relive your top tracks ðŸŽ§"/>
    <n v="2895"/>
    <n v="292"/>
    <n v="90"/>
    <n v="24223"/>
    <n v="54626"/>
    <n v="114"/>
    <x v="1"/>
    <x v="0"/>
    <n v="0.13528464682326713"/>
    <n v="404"/>
  </r>
  <r>
    <s v="SP097"/>
    <x v="0"/>
    <d v="2024-01-26T00:00:00"/>
    <x v="0"/>
    <s v="Whatâ€™s your vibe today? #SpotifyHits"/>
    <n v="3878"/>
    <n v="431"/>
    <n v="97"/>
    <n v="41763"/>
    <n v="29729"/>
    <n v="191"/>
    <x v="2"/>
    <x v="1"/>
    <n v="0.10550008380623997"/>
    <n v="246"/>
  </r>
  <r>
    <s v="SP098"/>
    <x v="1"/>
    <d v="2024-03-15T00:00:00"/>
    <x v="1"/>
    <s v="Get into the groove with our new drop!"/>
    <n v="4969"/>
    <n v="433"/>
    <n v="237"/>
    <n v="59552"/>
    <n v="23885"/>
    <n v="157"/>
    <x v="2"/>
    <x v="0"/>
    <n v="9.4690354648038683E-2"/>
    <n v="327"/>
  </r>
  <r>
    <s v="SP098"/>
    <x v="1"/>
    <d v="2024-03-15T00:00:00"/>
    <x v="1"/>
    <s v="Get into the groove with our new drop!"/>
    <n v="4969"/>
    <n v="433"/>
    <n v="237"/>
    <n v="59552"/>
    <n v="23885"/>
    <n v="157"/>
    <x v="3"/>
    <x v="0"/>
    <n v="9.4690354648038683E-2"/>
    <n v="327"/>
  </r>
  <r>
    <s v="SP099"/>
    <x v="1"/>
    <d v="2024-10-15T00:00:00"/>
    <x v="0"/>
    <s v="Wrapped is here! Relive your top tracks ðŸŽ§"/>
    <n v="1984"/>
    <n v="481"/>
    <n v="356"/>
    <n v="40681"/>
    <n v="63111"/>
    <n v="258"/>
    <x v="1"/>
    <x v="0"/>
    <n v="6.934441139598338E-2"/>
    <n v="108"/>
  </r>
  <r>
    <s v="SP100"/>
    <x v="0"/>
    <d v="2024-07-21T00:00:00"/>
    <x v="0"/>
    <s v="Discover fresh beats on Spotify!"/>
    <n v="3004"/>
    <n v="415"/>
    <n v="218"/>
    <n v="36090"/>
    <n v="37073"/>
    <n v="181"/>
    <x v="2"/>
    <x v="1"/>
    <n v="0.10077583818232197"/>
    <n v="262"/>
  </r>
  <r>
    <s v="SP101"/>
    <x v="1"/>
    <d v="2024-10-12T00:00:00"/>
    <x v="0"/>
    <s v="Get into the groove with our new drop!"/>
    <n v="3169"/>
    <n v="386"/>
    <n v="175"/>
    <n v="45012"/>
    <n v="38508"/>
    <n v="218"/>
    <x v="1"/>
    <x v="0"/>
    <n v="8.2866791077934779E-2"/>
    <n v="184"/>
  </r>
  <r>
    <s v="SP102"/>
    <x v="1"/>
    <d v="2024-10-26T00:00:00"/>
    <x v="0"/>
    <s v="Discover fresh beats on Spotify!"/>
    <n v="3036"/>
    <n v="293"/>
    <n v="115"/>
    <n v="23776"/>
    <n v="46386"/>
    <n v="282"/>
    <x v="1"/>
    <x v="0"/>
    <n v="0.14485195154777927"/>
    <n v="38"/>
  </r>
  <r>
    <s v="SP103"/>
    <x v="0"/>
    <d v="2024-02-14T00:00:00"/>
    <x v="0"/>
    <s v="Music that moves youâ€”only on Spotify."/>
    <n v="1830"/>
    <n v="112"/>
    <n v="181"/>
    <n v="31870"/>
    <n v="55742"/>
    <n v="263"/>
    <x v="0"/>
    <x v="0"/>
    <n v="6.6614370881706936E-2"/>
    <n v="99"/>
  </r>
  <r>
    <s v="SP103"/>
    <x v="0"/>
    <d v="2024-02-14T00:00:00"/>
    <x v="0"/>
    <s v="Music that moves youâ€”only on Spotify."/>
    <n v="1830"/>
    <n v="112"/>
    <n v="181"/>
    <n v="31870"/>
    <n v="55742"/>
    <n v="263"/>
    <x v="1"/>
    <x v="0"/>
    <n v="6.6614370881706936E-2"/>
    <n v="99"/>
  </r>
  <r>
    <s v="SP104"/>
    <x v="1"/>
    <d v="2024-05-01T00:00:00"/>
    <x v="1"/>
    <s v="Whatâ€™s your vibe today? #SpotifyHits"/>
    <n v="2587"/>
    <n v="447"/>
    <n v="183"/>
    <n v="36266"/>
    <n v="32877"/>
    <n v="132"/>
    <x v="2"/>
    <x v="0"/>
    <n v="8.8705674736667947E-2"/>
    <n v="373"/>
  </r>
  <r>
    <s v="SP104"/>
    <x v="1"/>
    <d v="2024-05-01T00:00:00"/>
    <x v="1"/>
    <s v="Whatâ€™s your vibe today? #SpotifyHits"/>
    <n v="2587"/>
    <n v="447"/>
    <n v="183"/>
    <n v="36266"/>
    <n v="32877"/>
    <n v="132"/>
    <x v="3"/>
    <x v="0"/>
    <n v="8.8705674736667947E-2"/>
    <n v="373"/>
  </r>
  <r>
    <s v="SP105"/>
    <x v="1"/>
    <d v="2024-09-18T00:00:00"/>
    <x v="0"/>
    <s v="Discover fresh beats on Spotify!"/>
    <n v="2878"/>
    <n v="265"/>
    <n v="91"/>
    <n v="52090"/>
    <n v="28924"/>
    <n v="133"/>
    <x v="1"/>
    <x v="0"/>
    <n v="6.2084853138798232E-2"/>
    <n v="365"/>
  </r>
  <r>
    <s v="SP106"/>
    <x v="1"/>
    <d v="2025-01-20T00:00:00"/>
    <x v="1"/>
    <s v="New music just dropped. Hit play!"/>
    <n v="4619"/>
    <n v="272"/>
    <n v="57"/>
    <n v="21334"/>
    <n v="46292"/>
    <n v="91"/>
    <x v="0"/>
    <x v="0"/>
    <n v="0.23193025217961938"/>
    <n v="452"/>
  </r>
  <r>
    <s v="SP106"/>
    <x v="1"/>
    <d v="2025-01-20T00:00:00"/>
    <x v="1"/>
    <s v="New music just dropped. Hit play!"/>
    <n v="4619"/>
    <n v="272"/>
    <n v="57"/>
    <n v="21334"/>
    <n v="46292"/>
    <n v="91"/>
    <x v="1"/>
    <x v="0"/>
    <n v="0.23193025217961938"/>
    <n v="452"/>
  </r>
  <r>
    <s v="SP107"/>
    <x v="1"/>
    <d v="2025-01-13T00:00:00"/>
    <x v="0"/>
    <s v="Music that moves youâ€”only on Spotify."/>
    <n v="4090"/>
    <n v="209"/>
    <n v="278"/>
    <n v="52853"/>
    <n v="57084"/>
    <n v="102"/>
    <x v="0"/>
    <x v="1"/>
    <n v="8.6598679355949518E-2"/>
    <n v="435"/>
  </r>
  <r>
    <s v="SP108"/>
    <x v="2"/>
    <d v="2024-09-07T00:00:00"/>
    <x v="2"/>
    <s v="Music that moves youâ€”only on Spotify."/>
    <n v="3882"/>
    <n v="342"/>
    <n v="374"/>
    <n v="41991"/>
    <n v="48554"/>
    <n v="118"/>
    <x v="2"/>
    <x v="3"/>
    <n v="0.10949965468790931"/>
    <n v="397"/>
  </r>
  <r>
    <s v="SP108"/>
    <x v="2"/>
    <d v="2024-09-07T00:00:00"/>
    <x v="2"/>
    <s v="Music that moves youâ€”only on Spotify."/>
    <n v="3882"/>
    <n v="342"/>
    <n v="374"/>
    <n v="41991"/>
    <n v="48554"/>
    <n v="118"/>
    <x v="0"/>
    <x v="3"/>
    <n v="0.10949965468790931"/>
    <n v="397"/>
  </r>
  <r>
    <s v="SP109"/>
    <x v="0"/>
    <d v="2024-11-21T00:00:00"/>
    <x v="0"/>
    <s v="Music that moves youâ€”only on Spotify."/>
    <n v="4581"/>
    <n v="181"/>
    <n v="112"/>
    <n v="35221"/>
    <n v="28797"/>
    <n v="164"/>
    <x v="0"/>
    <x v="0"/>
    <n v="0.13838335084182732"/>
    <n v="305"/>
  </r>
  <r>
    <s v="SP109"/>
    <x v="0"/>
    <d v="2024-11-21T00:00:00"/>
    <x v="0"/>
    <s v="Music that moves youâ€”only on Spotify."/>
    <n v="4581"/>
    <n v="181"/>
    <n v="112"/>
    <n v="35221"/>
    <n v="28797"/>
    <n v="164"/>
    <x v="1"/>
    <x v="0"/>
    <n v="0.13838335084182732"/>
    <n v="305"/>
  </r>
  <r>
    <s v="SP110"/>
    <x v="0"/>
    <d v="2024-06-26T00:00:00"/>
    <x v="0"/>
    <s v="New music just dropped. Hit play!"/>
    <n v="3253"/>
    <n v="483"/>
    <n v="336"/>
    <n v="25397"/>
    <n v="51485"/>
    <n v="131"/>
    <x v="2"/>
    <x v="1"/>
    <n v="0.16033389770445328"/>
    <n v="375"/>
  </r>
  <r>
    <s v="SP111"/>
    <x v="2"/>
    <d v="2024-07-20T00:00:00"/>
    <x v="2"/>
    <s v="Music that moves youâ€”only on Spotify."/>
    <n v="4955"/>
    <n v="299"/>
    <n v="345"/>
    <n v="33644"/>
    <n v="43547"/>
    <n v="194"/>
    <x v="2"/>
    <x v="3"/>
    <n v="0.16641897515158721"/>
    <n v="243"/>
  </r>
  <r>
    <s v="SP111"/>
    <x v="2"/>
    <d v="2024-07-20T00:00:00"/>
    <x v="2"/>
    <s v="Music that moves youâ€”only on Spotify."/>
    <n v="4955"/>
    <n v="299"/>
    <n v="345"/>
    <n v="33644"/>
    <n v="43547"/>
    <n v="194"/>
    <x v="0"/>
    <x v="3"/>
    <n v="0.16641897515158721"/>
    <n v="243"/>
  </r>
  <r>
    <s v="SP112"/>
    <x v="0"/>
    <d v="2025-02-16T00:00:00"/>
    <x v="0"/>
    <s v="Your weekend playlist is waiting."/>
    <n v="1333"/>
    <n v="286"/>
    <n v="298"/>
    <n v="36174"/>
    <n v="34517"/>
    <n v="170"/>
    <x v="0"/>
    <x v="0"/>
    <n v="5.2993862995521647E-2"/>
    <n v="295"/>
  </r>
  <r>
    <s v="SP112"/>
    <x v="0"/>
    <d v="2025-02-16T00:00:00"/>
    <x v="0"/>
    <s v="Your weekend playlist is waiting."/>
    <n v="1333"/>
    <n v="286"/>
    <n v="298"/>
    <n v="36174"/>
    <n v="34517"/>
    <n v="170"/>
    <x v="1"/>
    <x v="0"/>
    <n v="5.2993862995521647E-2"/>
    <n v="295"/>
  </r>
  <r>
    <s v="SP113"/>
    <x v="0"/>
    <d v="2024-09-09T00:00:00"/>
    <x v="0"/>
    <s v="New music just dropped. Hit play!"/>
    <n v="1616"/>
    <n v="360"/>
    <n v="180"/>
    <n v="54342"/>
    <n v="18796"/>
    <n v="282"/>
    <x v="0"/>
    <x v="0"/>
    <n v="3.9674653122814763E-2"/>
    <n v="38"/>
  </r>
  <r>
    <s v="SP113"/>
    <x v="0"/>
    <d v="2024-09-09T00:00:00"/>
    <x v="0"/>
    <s v="New music just dropped. Hit play!"/>
    <n v="1616"/>
    <n v="360"/>
    <n v="180"/>
    <n v="54342"/>
    <n v="18796"/>
    <n v="282"/>
    <x v="1"/>
    <x v="0"/>
    <n v="3.9674653122814763E-2"/>
    <n v="38"/>
  </r>
  <r>
    <s v="SP114"/>
    <x v="1"/>
    <d v="2024-07-16T00:00:00"/>
    <x v="0"/>
    <s v="Top trending tracks updated daily!"/>
    <n v="1803"/>
    <n v="273"/>
    <n v="287"/>
    <n v="46176"/>
    <n v="25488"/>
    <n v="141"/>
    <x v="1"/>
    <x v="0"/>
    <n v="5.1173769923769923E-2"/>
    <n v="356"/>
  </r>
  <r>
    <s v="SP115"/>
    <x v="0"/>
    <d v="2025-04-15T00:00:00"/>
    <x v="0"/>
    <s v="Explore the latest podcasts now."/>
    <n v="4177"/>
    <n v="489"/>
    <n v="331"/>
    <n v="57451"/>
    <n v="73793"/>
    <n v="251"/>
    <x v="2"/>
    <x v="1"/>
    <n v="8.6978468608031198E-2"/>
    <n v="118"/>
  </r>
  <r>
    <s v="SP116"/>
    <x v="0"/>
    <d v="2025-05-04T00:00:00"/>
    <x v="1"/>
    <s v="New music just dropped. Hit play!"/>
    <n v="1311"/>
    <n v="181"/>
    <n v="361"/>
    <n v="37148"/>
    <n v="44875"/>
    <n v="245"/>
    <x v="1"/>
    <x v="2"/>
    <n v="4.9881554861634543E-2"/>
    <n v="124"/>
  </r>
  <r>
    <s v="SP117"/>
    <x v="0"/>
    <d v="2024-02-18T00:00:00"/>
    <x v="1"/>
    <s v="From pop to podcasts, itâ€™s all here."/>
    <n v="1516"/>
    <n v="215"/>
    <n v="332"/>
    <n v="58981"/>
    <n v="36118"/>
    <n v="211"/>
    <x v="1"/>
    <x v="2"/>
    <n v="3.4977365592309385E-2"/>
    <n v="204"/>
  </r>
  <r>
    <s v="SP118"/>
    <x v="1"/>
    <d v="2024-05-16T00:00:00"/>
    <x v="1"/>
    <s v="Music that moves youâ€”only on Spotify."/>
    <n v="2023"/>
    <n v="124"/>
    <n v="99"/>
    <n v="54524"/>
    <n v="34790"/>
    <n v="195"/>
    <x v="2"/>
    <x v="0"/>
    <n v="4.1192869195216787E-2"/>
    <n v="239"/>
  </r>
  <r>
    <s v="SP118"/>
    <x v="1"/>
    <d v="2024-05-16T00:00:00"/>
    <x v="1"/>
    <s v="Music that moves youâ€”only on Spotify."/>
    <n v="2023"/>
    <n v="124"/>
    <n v="99"/>
    <n v="54524"/>
    <n v="34790"/>
    <n v="195"/>
    <x v="3"/>
    <x v="0"/>
    <n v="4.1192869195216787E-2"/>
    <n v="239"/>
  </r>
  <r>
    <s v="SP119"/>
    <x v="1"/>
    <d v="2025-05-29T00:00:00"/>
    <x v="1"/>
    <s v="Music that moves youâ€”only on Spotify."/>
    <n v="2134"/>
    <n v="322"/>
    <n v="114"/>
    <n v="44338"/>
    <n v="52165"/>
    <n v="176"/>
    <x v="3"/>
    <x v="0"/>
    <n v="5.7963823356939871E-2"/>
    <n v="272"/>
  </r>
  <r>
    <s v="SP119"/>
    <x v="1"/>
    <d v="2025-05-29T00:00:00"/>
    <x v="1"/>
    <s v="Music that moves youâ€”only on Spotify."/>
    <n v="2134"/>
    <n v="322"/>
    <n v="114"/>
    <n v="44338"/>
    <n v="52165"/>
    <n v="176"/>
    <x v="1"/>
    <x v="0"/>
    <n v="5.7963823356939871E-2"/>
    <n v="272"/>
  </r>
  <r>
    <s v="SP120"/>
    <x v="0"/>
    <d v="2025-01-17T00:00:00"/>
    <x v="0"/>
    <s v="Top trending tracks updated daily!"/>
    <n v="2266"/>
    <n v="126"/>
    <n v="140"/>
    <n v="53759"/>
    <n v="46834"/>
    <n v="277"/>
    <x v="2"/>
    <x v="1"/>
    <n v="4.7099090384865788E-2"/>
    <n v="48"/>
  </r>
  <r>
    <s v="SP121"/>
    <x v="0"/>
    <d v="2025-04-30T00:00:00"/>
    <x v="1"/>
    <s v="New music just dropped. Hit play!"/>
    <n v="3916"/>
    <n v="459"/>
    <n v="229"/>
    <n v="48989"/>
    <n v="39768"/>
    <n v="200"/>
    <x v="1"/>
    <x v="2"/>
    <n v="9.3980281287635997E-2"/>
    <n v="227"/>
  </r>
  <r>
    <s v="SP122"/>
    <x v="1"/>
    <d v="2024-02-24T00:00:00"/>
    <x v="1"/>
    <s v="Music that moves youâ€”only on Spotify."/>
    <n v="1022"/>
    <n v="463"/>
    <n v="360"/>
    <n v="51468"/>
    <n v="24279"/>
    <n v="230"/>
    <x v="2"/>
    <x v="0"/>
    <n v="3.5847516903707161E-2"/>
    <n v="155"/>
  </r>
  <r>
    <s v="SP122"/>
    <x v="1"/>
    <d v="2024-02-24T00:00:00"/>
    <x v="1"/>
    <s v="Music that moves youâ€”only on Spotify."/>
    <n v="1022"/>
    <n v="463"/>
    <n v="360"/>
    <n v="51468"/>
    <n v="24279"/>
    <n v="230"/>
    <x v="3"/>
    <x v="0"/>
    <n v="3.5847516903707161E-2"/>
    <n v="155"/>
  </r>
  <r>
    <s v="SP123"/>
    <x v="2"/>
    <d v="2024-05-12T00:00:00"/>
    <x v="0"/>
    <s v="From pop to podcasts, itâ€™s all here."/>
    <n v="2911"/>
    <n v="467"/>
    <n v="94"/>
    <n v="59083"/>
    <n v="49762"/>
    <n v="236"/>
    <x v="2"/>
    <x v="1"/>
    <n v="5.8764788517847777E-2"/>
    <n v="138"/>
  </r>
  <r>
    <s v="SP123"/>
    <x v="2"/>
    <d v="2024-05-12T00:00:00"/>
    <x v="0"/>
    <s v="From pop to podcasts, itâ€™s all here."/>
    <n v="2911"/>
    <n v="467"/>
    <n v="94"/>
    <n v="59083"/>
    <n v="49762"/>
    <n v="236"/>
    <x v="4"/>
    <x v="1"/>
    <n v="5.8764788517847777E-2"/>
    <n v="138"/>
  </r>
  <r>
    <s v="SP124"/>
    <x v="1"/>
    <d v="2024-05-09T00:00:00"/>
    <x v="1"/>
    <s v="New music just dropped. Hit play!"/>
    <n v="3277"/>
    <n v="423"/>
    <n v="259"/>
    <n v="46328"/>
    <n v="44293"/>
    <n v="299"/>
    <x v="0"/>
    <x v="0"/>
    <n v="8.5455879813503707E-2"/>
    <n v="1"/>
  </r>
  <r>
    <s v="SP124"/>
    <x v="1"/>
    <d v="2024-05-09T00:00:00"/>
    <x v="1"/>
    <s v="New music just dropped. Hit play!"/>
    <n v="3277"/>
    <n v="423"/>
    <n v="259"/>
    <n v="46328"/>
    <n v="44293"/>
    <n v="299"/>
    <x v="1"/>
    <x v="0"/>
    <n v="8.5455879813503707E-2"/>
    <n v="1"/>
  </r>
  <r>
    <s v="SP125"/>
    <x v="1"/>
    <d v="2024-11-06T00:00:00"/>
    <x v="0"/>
    <s v="From pop to podcasts, itâ€™s all here."/>
    <n v="2956"/>
    <n v="381"/>
    <n v="345"/>
    <n v="33347"/>
    <n v="22558"/>
    <n v="173"/>
    <x v="1"/>
    <x v="0"/>
    <n v="0.11041472996071611"/>
    <n v="283"/>
  </r>
  <r>
    <s v="SP126"/>
    <x v="1"/>
    <d v="2024-01-04T00:00:00"/>
    <x v="1"/>
    <s v="Whatâ€™s your vibe today? #SpotifyHits"/>
    <n v="3208"/>
    <n v="476"/>
    <n v="277"/>
    <n v="56072"/>
    <n v="21061"/>
    <n v="113"/>
    <x v="3"/>
    <x v="0"/>
    <n v="7.064131830503638E-2"/>
    <n v="410"/>
  </r>
  <r>
    <s v="SP126"/>
    <x v="1"/>
    <d v="2024-01-04T00:00:00"/>
    <x v="1"/>
    <s v="Whatâ€™s your vibe today? #SpotifyHits"/>
    <n v="3208"/>
    <n v="476"/>
    <n v="277"/>
    <n v="56072"/>
    <n v="21061"/>
    <n v="113"/>
    <x v="1"/>
    <x v="0"/>
    <n v="7.064131830503638E-2"/>
    <n v="410"/>
  </r>
  <r>
    <s v="SP127"/>
    <x v="1"/>
    <d v="2024-01-28T00:00:00"/>
    <x v="0"/>
    <s v="Music that moves youâ€”only on Spotify."/>
    <n v="1456"/>
    <n v="265"/>
    <n v="137"/>
    <n v="53485"/>
    <n v="59729"/>
    <n v="145"/>
    <x v="0"/>
    <x v="1"/>
    <n v="3.4738711788351875E-2"/>
    <n v="352"/>
  </r>
  <r>
    <s v="SP128"/>
    <x v="0"/>
    <d v="2024-02-22T00:00:00"/>
    <x v="0"/>
    <s v="New music just dropped. Hit play!"/>
    <n v="1902"/>
    <n v="394"/>
    <n v="279"/>
    <n v="24615"/>
    <n v="51330"/>
    <n v="176"/>
    <x v="0"/>
    <x v="0"/>
    <n v="0.10461100954702417"/>
    <n v="272"/>
  </r>
  <r>
    <s v="SP128"/>
    <x v="0"/>
    <d v="2024-02-22T00:00:00"/>
    <x v="0"/>
    <s v="New music just dropped. Hit play!"/>
    <n v="1902"/>
    <n v="394"/>
    <n v="279"/>
    <n v="24615"/>
    <n v="51330"/>
    <n v="176"/>
    <x v="1"/>
    <x v="0"/>
    <n v="0.10461100954702417"/>
    <n v="272"/>
  </r>
  <r>
    <s v="SP129"/>
    <x v="1"/>
    <d v="2025-07-01T00:00:00"/>
    <x v="1"/>
    <s v="Explore the latest podcasts now."/>
    <n v="3219"/>
    <n v="424"/>
    <n v="267"/>
    <n v="48879"/>
    <n v="37691"/>
    <n v="224"/>
    <x v="2"/>
    <x v="0"/>
    <n v="7.9993453221219743E-2"/>
    <n v="169"/>
  </r>
  <r>
    <s v="SP129"/>
    <x v="1"/>
    <d v="2025-07-01T00:00:00"/>
    <x v="1"/>
    <s v="Explore the latest podcasts now."/>
    <n v="3219"/>
    <n v="424"/>
    <n v="267"/>
    <n v="48879"/>
    <n v="37691"/>
    <n v="224"/>
    <x v="3"/>
    <x v="0"/>
    <n v="7.9993453221219743E-2"/>
    <n v="169"/>
  </r>
  <r>
    <s v="SP130"/>
    <x v="2"/>
    <d v="2024-01-10T00:00:00"/>
    <x v="0"/>
    <s v="Explore the latest podcasts now."/>
    <n v="1261"/>
    <n v="190"/>
    <n v="233"/>
    <n v="59888"/>
    <n v="51449"/>
    <n v="205"/>
    <x v="2"/>
    <x v="1"/>
    <n v="2.811915575741384E-2"/>
    <n v="214"/>
  </r>
  <r>
    <s v="SP130"/>
    <x v="2"/>
    <d v="2024-01-10T00:00:00"/>
    <x v="0"/>
    <s v="Explore the latest podcasts now."/>
    <n v="1261"/>
    <n v="190"/>
    <n v="233"/>
    <n v="59888"/>
    <n v="51449"/>
    <n v="205"/>
    <x v="4"/>
    <x v="1"/>
    <n v="2.811915575741384E-2"/>
    <n v="214"/>
  </r>
  <r>
    <s v="SP131"/>
    <x v="1"/>
    <d v="2025-03-20T00:00:00"/>
    <x v="0"/>
    <s v="Your weekend playlist is waiting."/>
    <n v="1564"/>
    <n v="362"/>
    <n v="371"/>
    <n v="42075"/>
    <n v="66659"/>
    <n v="205"/>
    <x v="0"/>
    <x v="1"/>
    <n v="5.4592988710635768E-2"/>
    <n v="214"/>
  </r>
  <r>
    <s v="SP132"/>
    <x v="1"/>
    <d v="2024-09-28T00:00:00"/>
    <x v="0"/>
    <s v="Whatâ€™s your vibe today? #SpotifyHits"/>
    <n v="4006"/>
    <n v="420"/>
    <n v="194"/>
    <n v="49964"/>
    <n v="20685"/>
    <n v="148"/>
    <x v="1"/>
    <x v="0"/>
    <n v="9.2466575934672959E-2"/>
    <n v="344"/>
  </r>
  <r>
    <s v="SP133"/>
    <x v="2"/>
    <d v="2024-01-27T00:00:00"/>
    <x v="0"/>
    <s v="Your weekend playlist is waiting."/>
    <n v="1976"/>
    <n v="262"/>
    <n v="218"/>
    <n v="51696"/>
    <n v="44846"/>
    <n v="139"/>
    <x v="2"/>
    <x v="1"/>
    <n v="4.7508511296812134E-2"/>
    <n v="357"/>
  </r>
  <r>
    <s v="SP133"/>
    <x v="2"/>
    <d v="2024-01-27T00:00:00"/>
    <x v="0"/>
    <s v="Your weekend playlist is waiting."/>
    <n v="1976"/>
    <n v="262"/>
    <n v="218"/>
    <n v="51696"/>
    <n v="44846"/>
    <n v="139"/>
    <x v="4"/>
    <x v="1"/>
    <n v="4.7508511296812134E-2"/>
    <n v="357"/>
  </r>
  <r>
    <s v="SP134"/>
    <x v="1"/>
    <d v="2025-05-15T00:00:00"/>
    <x v="0"/>
    <s v="New music just dropped. Hit play!"/>
    <n v="1583"/>
    <n v="433"/>
    <n v="249"/>
    <n v="30256"/>
    <n v="47066"/>
    <n v="196"/>
    <x v="1"/>
    <x v="0"/>
    <n v="7.4861184558434685E-2"/>
    <n v="237"/>
  </r>
  <r>
    <s v="SP135"/>
    <x v="1"/>
    <d v="2024-10-04T00:00:00"/>
    <x v="1"/>
    <s v="Explore the latest podcasts now."/>
    <n v="2870"/>
    <n v="380"/>
    <n v="393"/>
    <n v="37621"/>
    <n v="71794"/>
    <n v="127"/>
    <x v="3"/>
    <x v="0"/>
    <n v="9.6834214933149046E-2"/>
    <n v="382"/>
  </r>
  <r>
    <s v="SP135"/>
    <x v="1"/>
    <d v="2024-10-04T00:00:00"/>
    <x v="1"/>
    <s v="Explore the latest podcasts now."/>
    <n v="2870"/>
    <n v="380"/>
    <n v="393"/>
    <n v="37621"/>
    <n v="71794"/>
    <n v="127"/>
    <x v="1"/>
    <x v="0"/>
    <n v="9.6834214933149046E-2"/>
    <n v="382"/>
  </r>
  <r>
    <s v="SP136"/>
    <x v="1"/>
    <d v="2024-11-19T00:00:00"/>
    <x v="0"/>
    <s v="Top trending tracks updated daily!"/>
    <n v="3728"/>
    <n v="271"/>
    <n v="275"/>
    <n v="22827"/>
    <n v="37034"/>
    <n v="199"/>
    <x v="1"/>
    <x v="0"/>
    <n v="0.18723441538528934"/>
    <n v="230"/>
  </r>
  <r>
    <s v="SP137"/>
    <x v="1"/>
    <d v="2024-04-05T00:00:00"/>
    <x v="1"/>
    <s v="New music just dropped. Hit play!"/>
    <n v="4965"/>
    <n v="175"/>
    <n v="307"/>
    <n v="32793"/>
    <n v="43412"/>
    <n v="296"/>
    <x v="0"/>
    <x v="0"/>
    <n v="0.16610252187966945"/>
    <n v="9"/>
  </r>
  <r>
    <s v="SP137"/>
    <x v="1"/>
    <d v="2024-04-05T00:00:00"/>
    <x v="1"/>
    <s v="New music just dropped. Hit play!"/>
    <n v="4965"/>
    <n v="175"/>
    <n v="307"/>
    <n v="32793"/>
    <n v="43412"/>
    <n v="296"/>
    <x v="1"/>
    <x v="0"/>
    <n v="0.16610252187966945"/>
    <n v="9"/>
  </r>
  <r>
    <s v="SP138"/>
    <x v="1"/>
    <d v="2024-11-28T00:00:00"/>
    <x v="1"/>
    <s v="New music just dropped. Hit play!"/>
    <n v="1131"/>
    <n v="100"/>
    <n v="116"/>
    <n v="48437"/>
    <n v="72704"/>
    <n v="236"/>
    <x v="2"/>
    <x v="0"/>
    <n v="2.7809319322005904E-2"/>
    <n v="138"/>
  </r>
  <r>
    <s v="SP138"/>
    <x v="1"/>
    <d v="2024-11-28T00:00:00"/>
    <x v="1"/>
    <s v="New music just dropped. Hit play!"/>
    <n v="1131"/>
    <n v="100"/>
    <n v="116"/>
    <n v="48437"/>
    <n v="72704"/>
    <n v="236"/>
    <x v="3"/>
    <x v="0"/>
    <n v="2.7809319322005904E-2"/>
    <n v="138"/>
  </r>
  <r>
    <s v="SP139"/>
    <x v="1"/>
    <d v="2025-03-09T00:00:00"/>
    <x v="0"/>
    <s v="Your weekend playlist is waiting."/>
    <n v="2754"/>
    <n v="215"/>
    <n v="264"/>
    <n v="27762"/>
    <n v="70203"/>
    <n v="289"/>
    <x v="1"/>
    <x v="0"/>
    <n v="0.11645414595490239"/>
    <n v="25"/>
  </r>
  <r>
    <s v="SP140"/>
    <x v="1"/>
    <d v="2024-08-27T00:00:00"/>
    <x v="1"/>
    <s v="New music just dropped. Hit play!"/>
    <n v="1856"/>
    <n v="357"/>
    <n v="348"/>
    <n v="29428"/>
    <n v="70206"/>
    <n v="236"/>
    <x v="3"/>
    <x v="0"/>
    <n v="8.702596166915863E-2"/>
    <n v="138"/>
  </r>
  <r>
    <s v="SP140"/>
    <x v="1"/>
    <d v="2024-08-27T00:00:00"/>
    <x v="1"/>
    <s v="New music just dropped. Hit play!"/>
    <n v="1856"/>
    <n v="357"/>
    <n v="348"/>
    <n v="29428"/>
    <n v="70206"/>
    <n v="236"/>
    <x v="1"/>
    <x v="0"/>
    <n v="8.702596166915863E-2"/>
    <n v="138"/>
  </r>
  <r>
    <s v="SP141"/>
    <x v="2"/>
    <d v="2024-10-01T00:00:00"/>
    <x v="2"/>
    <s v="Explore the latest podcasts now."/>
    <n v="3543"/>
    <n v="334"/>
    <n v="218"/>
    <n v="58007"/>
    <n v="24792"/>
    <n v="273"/>
    <x v="2"/>
    <x v="3"/>
    <n v="7.0594928198320889E-2"/>
    <n v="62"/>
  </r>
  <r>
    <s v="SP141"/>
    <x v="2"/>
    <d v="2024-10-01T00:00:00"/>
    <x v="2"/>
    <s v="Explore the latest podcasts now."/>
    <n v="3543"/>
    <n v="334"/>
    <n v="218"/>
    <n v="58007"/>
    <n v="24792"/>
    <n v="273"/>
    <x v="0"/>
    <x v="3"/>
    <n v="7.0594928198320889E-2"/>
    <n v="62"/>
  </r>
  <r>
    <s v="SP142"/>
    <x v="0"/>
    <d v="2024-12-21T00:00:00"/>
    <x v="1"/>
    <s v="New music just dropped. Hit play!"/>
    <n v="4563"/>
    <n v="398"/>
    <n v="163"/>
    <n v="43679"/>
    <n v="48760"/>
    <n v="92"/>
    <x v="1"/>
    <x v="2"/>
    <n v="0.11731037798484398"/>
    <n v="449"/>
  </r>
  <r>
    <s v="SP143"/>
    <x v="0"/>
    <d v="2024-06-17T00:00:00"/>
    <x v="0"/>
    <s v="Discover fresh beats on Spotify!"/>
    <n v="4283"/>
    <n v="471"/>
    <n v="156"/>
    <n v="53004"/>
    <n v="25678"/>
    <n v="105"/>
    <x v="2"/>
    <x v="1"/>
    <n v="9.2634518149573616E-2"/>
    <n v="428"/>
  </r>
  <r>
    <s v="SP144"/>
    <x v="0"/>
    <d v="2025-02-14T00:00:00"/>
    <x v="0"/>
    <s v="Discover fresh beats on Spotify!"/>
    <n v="2329"/>
    <n v="373"/>
    <n v="291"/>
    <n v="49577"/>
    <n v="28002"/>
    <n v="82"/>
    <x v="0"/>
    <x v="0"/>
    <n v="6.0370736430199488E-2"/>
    <n v="477"/>
  </r>
  <r>
    <s v="SP144"/>
    <x v="0"/>
    <d v="2025-02-14T00:00:00"/>
    <x v="0"/>
    <s v="Discover fresh beats on Spotify!"/>
    <n v="2329"/>
    <n v="373"/>
    <n v="291"/>
    <n v="49577"/>
    <n v="28002"/>
    <n v="82"/>
    <x v="1"/>
    <x v="0"/>
    <n v="6.0370736430199488E-2"/>
    <n v="477"/>
  </r>
  <r>
    <s v="SP145"/>
    <x v="1"/>
    <d v="2025-05-28T00:00:00"/>
    <x v="1"/>
    <s v="Top trending tracks updated daily!"/>
    <n v="4287"/>
    <n v="273"/>
    <n v="122"/>
    <n v="40792"/>
    <n v="23878"/>
    <n v="277"/>
    <x v="3"/>
    <x v="0"/>
    <n v="0.11477740733477153"/>
    <n v="48"/>
  </r>
  <r>
    <s v="SP145"/>
    <x v="1"/>
    <d v="2025-05-28T00:00:00"/>
    <x v="1"/>
    <s v="Top trending tracks updated daily!"/>
    <n v="4287"/>
    <n v="273"/>
    <n v="122"/>
    <n v="40792"/>
    <n v="23878"/>
    <n v="277"/>
    <x v="1"/>
    <x v="0"/>
    <n v="0.11477740733477153"/>
    <n v="48"/>
  </r>
  <r>
    <s v="SP146"/>
    <x v="0"/>
    <d v="2025-05-22T00:00:00"/>
    <x v="0"/>
    <s v="Discover fresh beats on Spotify!"/>
    <n v="2633"/>
    <n v="318"/>
    <n v="380"/>
    <n v="40869"/>
    <n v="64474"/>
    <n v="245"/>
    <x v="2"/>
    <x v="1"/>
    <n v="8.1504318676747664E-2"/>
    <n v="124"/>
  </r>
  <r>
    <s v="SP147"/>
    <x v="1"/>
    <d v="2024-01-21T00:00:00"/>
    <x v="1"/>
    <s v="Discover fresh beats on Spotify!"/>
    <n v="2383"/>
    <n v="136"/>
    <n v="302"/>
    <n v="39187"/>
    <n v="22133"/>
    <n v="208"/>
    <x v="3"/>
    <x v="0"/>
    <n v="7.1988159338556151E-2"/>
    <n v="208"/>
  </r>
  <r>
    <s v="SP147"/>
    <x v="1"/>
    <d v="2024-01-21T00:00:00"/>
    <x v="1"/>
    <s v="Discover fresh beats on Spotify!"/>
    <n v="2383"/>
    <n v="136"/>
    <n v="302"/>
    <n v="39187"/>
    <n v="22133"/>
    <n v="208"/>
    <x v="1"/>
    <x v="0"/>
    <n v="7.1988159338556151E-2"/>
    <n v="208"/>
  </r>
  <r>
    <s v="SP148"/>
    <x v="1"/>
    <d v="2025-02-08T00:00:00"/>
    <x v="1"/>
    <s v="Your weekend playlist is waiting."/>
    <n v="4752"/>
    <n v="334"/>
    <n v="56"/>
    <n v="48017"/>
    <n v="55534"/>
    <n v="270"/>
    <x v="2"/>
    <x v="0"/>
    <n v="0.10708707332819627"/>
    <n v="73"/>
  </r>
  <r>
    <s v="SP148"/>
    <x v="1"/>
    <d v="2025-02-08T00:00:00"/>
    <x v="1"/>
    <s v="Your weekend playlist is waiting."/>
    <n v="4752"/>
    <n v="334"/>
    <n v="56"/>
    <n v="48017"/>
    <n v="55534"/>
    <n v="270"/>
    <x v="3"/>
    <x v="0"/>
    <n v="0.10708707332819627"/>
    <n v="73"/>
  </r>
  <r>
    <s v="SP149"/>
    <x v="1"/>
    <d v="2025-04-13T00:00:00"/>
    <x v="0"/>
    <s v="From pop to podcasts, itâ€™s all here."/>
    <n v="3890"/>
    <n v="408"/>
    <n v="338"/>
    <n v="56994"/>
    <n v="32621"/>
    <n v="286"/>
    <x v="0"/>
    <x v="1"/>
    <n v="8.1341895638137346E-2"/>
    <n v="33"/>
  </r>
  <r>
    <s v="SP150"/>
    <x v="1"/>
    <d v="2024-05-30T00:00:00"/>
    <x v="1"/>
    <s v="Your weekend playlist is waiting."/>
    <n v="2311"/>
    <n v="207"/>
    <n v="363"/>
    <n v="30349"/>
    <n v="32925"/>
    <n v="88"/>
    <x v="3"/>
    <x v="0"/>
    <n v="9.4928992718046723E-2"/>
    <n v="457"/>
  </r>
  <r>
    <s v="SP150"/>
    <x v="1"/>
    <d v="2024-05-30T00:00:00"/>
    <x v="1"/>
    <s v="Your weekend playlist is waiting."/>
    <n v="2311"/>
    <n v="207"/>
    <n v="363"/>
    <n v="30349"/>
    <n v="32925"/>
    <n v="88"/>
    <x v="1"/>
    <x v="0"/>
    <n v="9.4928992718046723E-2"/>
    <n v="457"/>
  </r>
  <r>
    <s v="SP151"/>
    <x v="0"/>
    <d v="2024-08-12T00:00:00"/>
    <x v="1"/>
    <s v="Discover fresh beats on Spotify!"/>
    <n v="2962"/>
    <n v="400"/>
    <n v="280"/>
    <n v="52508"/>
    <n v="58329"/>
    <n v="219"/>
    <x v="1"/>
    <x v="2"/>
    <n v="6.9360859297630834E-2"/>
    <n v="180"/>
  </r>
  <r>
    <s v="SP152"/>
    <x v="0"/>
    <d v="2024-09-27T00:00:00"/>
    <x v="0"/>
    <s v="Discover fresh beats on Spotify!"/>
    <n v="3118"/>
    <n v="116"/>
    <n v="195"/>
    <n v="37100"/>
    <n v="62629"/>
    <n v="272"/>
    <x v="2"/>
    <x v="1"/>
    <n v="9.2425876010781671E-2"/>
    <n v="65"/>
  </r>
  <r>
    <s v="SP153"/>
    <x v="1"/>
    <d v="2025-06-11T00:00:00"/>
    <x v="1"/>
    <s v="Explore the latest podcasts now."/>
    <n v="3805"/>
    <n v="453"/>
    <n v="63"/>
    <n v="52395"/>
    <n v="72934"/>
    <n v="87"/>
    <x v="2"/>
    <x v="0"/>
    <n v="8.2469701307376658E-2"/>
    <n v="463"/>
  </r>
  <r>
    <s v="SP153"/>
    <x v="1"/>
    <d v="2025-06-11T00:00:00"/>
    <x v="1"/>
    <s v="Explore the latest podcasts now."/>
    <n v="3805"/>
    <n v="453"/>
    <n v="63"/>
    <n v="52395"/>
    <n v="72934"/>
    <n v="87"/>
    <x v="3"/>
    <x v="0"/>
    <n v="8.2469701307376658E-2"/>
    <n v="463"/>
  </r>
  <r>
    <s v="SP154"/>
    <x v="0"/>
    <d v="2024-11-19T00:00:00"/>
    <x v="0"/>
    <s v="Whatâ€™s your vibe today? #SpotifyHits"/>
    <n v="2525"/>
    <n v="272"/>
    <n v="294"/>
    <n v="51875"/>
    <n v="24732"/>
    <n v="92"/>
    <x v="2"/>
    <x v="1"/>
    <n v="5.9585542168674697E-2"/>
    <n v="449"/>
  </r>
  <r>
    <s v="SP155"/>
    <x v="0"/>
    <d v="2024-04-25T00:00:00"/>
    <x v="0"/>
    <s v="Music that moves youâ€”only on Spotify."/>
    <n v="3563"/>
    <n v="483"/>
    <n v="227"/>
    <n v="41085"/>
    <n v="26393"/>
    <n v="236"/>
    <x v="0"/>
    <x v="0"/>
    <n v="0.10400389436534015"/>
    <n v="138"/>
  </r>
  <r>
    <s v="SP155"/>
    <x v="0"/>
    <d v="2024-04-25T00:00:00"/>
    <x v="0"/>
    <s v="Music that moves youâ€”only on Spotify."/>
    <n v="3563"/>
    <n v="483"/>
    <n v="227"/>
    <n v="41085"/>
    <n v="26393"/>
    <n v="236"/>
    <x v="1"/>
    <x v="0"/>
    <n v="0.10400389436534015"/>
    <n v="138"/>
  </r>
  <r>
    <s v="SP156"/>
    <x v="2"/>
    <d v="2024-09-03T00:00:00"/>
    <x v="2"/>
    <s v="Whatâ€™s your vibe today? #SpotifyHits"/>
    <n v="1437"/>
    <n v="494"/>
    <n v="129"/>
    <n v="53048"/>
    <n v="44090"/>
    <n v="230"/>
    <x v="2"/>
    <x v="3"/>
    <n v="3.8832755240536872E-2"/>
    <n v="155"/>
  </r>
  <r>
    <s v="SP156"/>
    <x v="2"/>
    <d v="2024-09-03T00:00:00"/>
    <x v="2"/>
    <s v="Whatâ€™s your vibe today? #SpotifyHits"/>
    <n v="1437"/>
    <n v="494"/>
    <n v="129"/>
    <n v="53048"/>
    <n v="44090"/>
    <n v="230"/>
    <x v="0"/>
    <x v="3"/>
    <n v="3.8832755240536872E-2"/>
    <n v="155"/>
  </r>
  <r>
    <s v="SP157"/>
    <x v="2"/>
    <d v="2025-03-02T00:00:00"/>
    <x v="0"/>
    <s v="From pop to podcasts, itâ€™s all here."/>
    <n v="4425"/>
    <n v="185"/>
    <n v="162"/>
    <n v="24610"/>
    <n v="21342"/>
    <n v="158"/>
    <x v="2"/>
    <x v="1"/>
    <n v="0.19390491670052823"/>
    <n v="325"/>
  </r>
  <r>
    <s v="SP157"/>
    <x v="2"/>
    <d v="2025-03-02T00:00:00"/>
    <x v="0"/>
    <s v="From pop to podcasts, itâ€™s all here."/>
    <n v="4425"/>
    <n v="185"/>
    <n v="162"/>
    <n v="24610"/>
    <n v="21342"/>
    <n v="158"/>
    <x v="4"/>
    <x v="1"/>
    <n v="0.19390491670052823"/>
    <n v="325"/>
  </r>
  <r>
    <s v="SP158"/>
    <x v="1"/>
    <d v="2025-03-21T00:00:00"/>
    <x v="1"/>
    <s v="New music just dropped. Hit play!"/>
    <n v="4609"/>
    <n v="427"/>
    <n v="395"/>
    <n v="33698"/>
    <n v="29259"/>
    <n v="216"/>
    <x v="2"/>
    <x v="0"/>
    <n v="0.16116683482699271"/>
    <n v="185"/>
  </r>
  <r>
    <s v="SP158"/>
    <x v="1"/>
    <d v="2025-03-21T00:00:00"/>
    <x v="1"/>
    <s v="New music just dropped. Hit play!"/>
    <n v="4609"/>
    <n v="427"/>
    <n v="395"/>
    <n v="33698"/>
    <n v="29259"/>
    <n v="216"/>
    <x v="3"/>
    <x v="0"/>
    <n v="0.16116683482699271"/>
    <n v="185"/>
  </r>
  <r>
    <s v="SP159"/>
    <x v="0"/>
    <d v="2024-04-12T00:00:00"/>
    <x v="1"/>
    <s v="Get into the groove with our new drop!"/>
    <n v="1558"/>
    <n v="352"/>
    <n v="202"/>
    <n v="25405"/>
    <n v="69941"/>
    <n v="219"/>
    <x v="1"/>
    <x v="2"/>
    <n v="8.3133241487896081E-2"/>
    <n v="180"/>
  </r>
  <r>
    <s v="SP160"/>
    <x v="2"/>
    <d v="2024-02-08T00:00:00"/>
    <x v="2"/>
    <s v="Top trending tracks updated daily!"/>
    <n v="1889"/>
    <n v="298"/>
    <n v="122"/>
    <n v="46225"/>
    <n v="74305"/>
    <n v="293"/>
    <x v="2"/>
    <x v="3"/>
    <n v="4.9951325040562468E-2"/>
    <n v="16"/>
  </r>
  <r>
    <s v="SP160"/>
    <x v="2"/>
    <d v="2024-02-08T00:00:00"/>
    <x v="2"/>
    <s v="Top trending tracks updated daily!"/>
    <n v="1889"/>
    <n v="298"/>
    <n v="122"/>
    <n v="46225"/>
    <n v="74305"/>
    <n v="293"/>
    <x v="0"/>
    <x v="3"/>
    <n v="4.9951325040562468E-2"/>
    <n v="16"/>
  </r>
  <r>
    <s v="SP161"/>
    <x v="0"/>
    <d v="2025-05-26T00:00:00"/>
    <x v="0"/>
    <s v="Discover fresh beats on Spotify!"/>
    <n v="3086"/>
    <n v="148"/>
    <n v="310"/>
    <n v="22824"/>
    <n v="58103"/>
    <n v="275"/>
    <x v="2"/>
    <x v="1"/>
    <n v="0.1552751489660007"/>
    <n v="57"/>
  </r>
  <r>
    <s v="SP162"/>
    <x v="0"/>
    <d v="2024-11-14T00:00:00"/>
    <x v="0"/>
    <s v="Music that moves youâ€”only on Spotify."/>
    <n v="2422"/>
    <n v="318"/>
    <n v="118"/>
    <n v="25386"/>
    <n v="20873"/>
    <n v="100"/>
    <x v="0"/>
    <x v="0"/>
    <n v="0.11258173796580792"/>
    <n v="440"/>
  </r>
  <r>
    <s v="SP162"/>
    <x v="0"/>
    <d v="2024-11-14T00:00:00"/>
    <x v="0"/>
    <s v="Music that moves youâ€”only on Spotify."/>
    <n v="2422"/>
    <n v="318"/>
    <n v="118"/>
    <n v="25386"/>
    <n v="20873"/>
    <n v="100"/>
    <x v="1"/>
    <x v="0"/>
    <n v="0.11258173796580792"/>
    <n v="440"/>
  </r>
  <r>
    <s v="SP163"/>
    <x v="2"/>
    <d v="2024-08-09T00:00:00"/>
    <x v="2"/>
    <s v="From pop to podcasts, itâ€™s all here."/>
    <n v="3414"/>
    <n v="154"/>
    <n v="204"/>
    <n v="34146"/>
    <n v="44633"/>
    <n v="256"/>
    <x v="2"/>
    <x v="3"/>
    <n v="0.11046681895390383"/>
    <n v="112"/>
  </r>
  <r>
    <s v="SP163"/>
    <x v="2"/>
    <d v="2024-08-09T00:00:00"/>
    <x v="2"/>
    <s v="From pop to podcasts, itâ€™s all here."/>
    <n v="3414"/>
    <n v="154"/>
    <n v="204"/>
    <n v="34146"/>
    <n v="44633"/>
    <n v="256"/>
    <x v="0"/>
    <x v="3"/>
    <n v="0.11046681895390383"/>
    <n v="112"/>
  </r>
  <r>
    <s v="SP164"/>
    <x v="0"/>
    <d v="2025-06-27T00:00:00"/>
    <x v="1"/>
    <s v="Whatâ€™s your vibe today? #SpotifyHits"/>
    <n v="1342"/>
    <n v="332"/>
    <n v="163"/>
    <n v="51712"/>
    <n v="57922"/>
    <n v="168"/>
    <x v="1"/>
    <x v="2"/>
    <n v="3.5523669554455448E-2"/>
    <n v="300"/>
  </r>
  <r>
    <s v="SP165"/>
    <x v="0"/>
    <d v="2024-05-08T00:00:00"/>
    <x v="1"/>
    <s v="Music that moves youâ€”only on Spotify."/>
    <n v="2414"/>
    <n v="220"/>
    <n v="280"/>
    <n v="27355"/>
    <n v="50562"/>
    <n v="258"/>
    <x v="1"/>
    <x v="2"/>
    <n v="0.10652531529884847"/>
    <n v="108"/>
  </r>
  <r>
    <s v="SP166"/>
    <x v="0"/>
    <d v="2024-04-05T00:00:00"/>
    <x v="0"/>
    <s v="New music just dropped. Hit play!"/>
    <n v="4383"/>
    <n v="352"/>
    <n v="176"/>
    <n v="53239"/>
    <n v="34168"/>
    <n v="288"/>
    <x v="2"/>
    <x v="1"/>
    <n v="9.2244407295403744E-2"/>
    <n v="28"/>
  </r>
  <r>
    <s v="SP167"/>
    <x v="2"/>
    <d v="2025-01-27T00:00:00"/>
    <x v="0"/>
    <s v="Wrapped is here! Relive your top tracks ðŸŽ§"/>
    <n v="4294"/>
    <n v="423"/>
    <n v="93"/>
    <n v="29828"/>
    <n v="73144"/>
    <n v="298"/>
    <x v="2"/>
    <x v="1"/>
    <n v="0.1612578785034196"/>
    <n v="3"/>
  </r>
  <r>
    <s v="SP167"/>
    <x v="2"/>
    <d v="2025-01-27T00:00:00"/>
    <x v="0"/>
    <s v="Wrapped is here! Relive your top tracks ðŸŽ§"/>
    <n v="4294"/>
    <n v="423"/>
    <n v="93"/>
    <n v="29828"/>
    <n v="73144"/>
    <n v="298"/>
    <x v="4"/>
    <x v="1"/>
    <n v="0.1612578785034196"/>
    <n v="3"/>
  </r>
  <r>
    <s v="SP168"/>
    <x v="0"/>
    <d v="2024-04-03T00:00:00"/>
    <x v="0"/>
    <s v="Top trending tracks updated daily!"/>
    <n v="2762"/>
    <n v="339"/>
    <n v="323"/>
    <n v="33757"/>
    <n v="68511"/>
    <n v="121"/>
    <x v="0"/>
    <x v="0"/>
    <n v="0.10143081434961637"/>
    <n v="387"/>
  </r>
  <r>
    <s v="SP168"/>
    <x v="0"/>
    <d v="2024-04-03T00:00:00"/>
    <x v="0"/>
    <s v="Top trending tracks updated daily!"/>
    <n v="2762"/>
    <n v="339"/>
    <n v="323"/>
    <n v="33757"/>
    <n v="68511"/>
    <n v="121"/>
    <x v="1"/>
    <x v="0"/>
    <n v="0.10143081434961637"/>
    <n v="387"/>
  </r>
  <r>
    <s v="SP169"/>
    <x v="2"/>
    <d v="2025-01-03T00:00:00"/>
    <x v="0"/>
    <s v="New music just dropped. Hit play!"/>
    <n v="3782"/>
    <n v="484"/>
    <n v="144"/>
    <n v="52172"/>
    <n v="59386"/>
    <n v="175"/>
    <x v="2"/>
    <x v="1"/>
    <n v="8.4528099363643333E-2"/>
    <n v="277"/>
  </r>
  <r>
    <s v="SP169"/>
    <x v="2"/>
    <d v="2025-01-03T00:00:00"/>
    <x v="0"/>
    <s v="New music just dropped. Hit play!"/>
    <n v="3782"/>
    <n v="484"/>
    <n v="144"/>
    <n v="52172"/>
    <n v="59386"/>
    <n v="175"/>
    <x v="4"/>
    <x v="1"/>
    <n v="8.4528099363643333E-2"/>
    <n v="277"/>
  </r>
  <r>
    <s v="SP170"/>
    <x v="1"/>
    <d v="2024-11-23T00:00:00"/>
    <x v="0"/>
    <s v="New music just dropped. Hit play!"/>
    <n v="4318"/>
    <n v="371"/>
    <n v="329"/>
    <n v="32347"/>
    <n v="68956"/>
    <n v="259"/>
    <x v="0"/>
    <x v="1"/>
    <n v="0.15513030574705536"/>
    <n v="106"/>
  </r>
  <r>
    <s v="SP171"/>
    <x v="0"/>
    <d v="2024-09-01T00:00:00"/>
    <x v="1"/>
    <s v="Wrapped is here! Relive your top tracks ðŸŽ§"/>
    <n v="2335"/>
    <n v="150"/>
    <n v="75"/>
    <n v="26114"/>
    <n v="57549"/>
    <n v="135"/>
    <x v="1"/>
    <x v="2"/>
    <n v="9.8031707130274953E-2"/>
    <n v="363"/>
  </r>
  <r>
    <s v="SP172"/>
    <x v="2"/>
    <d v="2024-04-18T00:00:00"/>
    <x v="0"/>
    <s v="Explore the latest podcasts now."/>
    <n v="4023"/>
    <n v="293"/>
    <n v="91"/>
    <n v="26795"/>
    <n v="28924"/>
    <n v="278"/>
    <x v="2"/>
    <x v="1"/>
    <n v="0.16447098339242397"/>
    <n v="46"/>
  </r>
  <r>
    <s v="SP172"/>
    <x v="2"/>
    <d v="2024-04-18T00:00:00"/>
    <x v="0"/>
    <s v="Explore the latest podcasts now."/>
    <n v="4023"/>
    <n v="293"/>
    <n v="91"/>
    <n v="26795"/>
    <n v="28924"/>
    <n v="278"/>
    <x v="4"/>
    <x v="1"/>
    <n v="0.16447098339242397"/>
    <n v="46"/>
  </r>
  <r>
    <s v="SP173"/>
    <x v="0"/>
    <d v="2024-06-04T00:00:00"/>
    <x v="0"/>
    <s v="Get into the groove with our new drop!"/>
    <n v="3948"/>
    <n v="151"/>
    <n v="249"/>
    <n v="43147"/>
    <n v="63136"/>
    <n v="230"/>
    <x v="2"/>
    <x v="1"/>
    <n v="0.10077178019329269"/>
    <n v="155"/>
  </r>
  <r>
    <s v="SP174"/>
    <x v="2"/>
    <d v="2025-04-02T00:00:00"/>
    <x v="0"/>
    <s v="Wrapped is here! Relive your top tracks ðŸŽ§"/>
    <n v="4598"/>
    <n v="455"/>
    <n v="378"/>
    <n v="52952"/>
    <n v="58504"/>
    <n v="269"/>
    <x v="2"/>
    <x v="1"/>
    <n v="0.10256458679558846"/>
    <n v="79"/>
  </r>
  <r>
    <s v="SP174"/>
    <x v="2"/>
    <d v="2025-04-02T00:00:00"/>
    <x v="0"/>
    <s v="Wrapped is here! Relive your top tracks ðŸŽ§"/>
    <n v="4598"/>
    <n v="455"/>
    <n v="378"/>
    <n v="52952"/>
    <n v="58504"/>
    <n v="269"/>
    <x v="4"/>
    <x v="1"/>
    <n v="0.10256458679558846"/>
    <n v="79"/>
  </r>
  <r>
    <s v="SP175"/>
    <x v="1"/>
    <d v="2025-04-01T00:00:00"/>
    <x v="1"/>
    <s v="Music that moves youâ€”only on Spotify."/>
    <n v="2665"/>
    <n v="143"/>
    <n v="315"/>
    <n v="54808"/>
    <n v="29818"/>
    <n v="98"/>
    <x v="2"/>
    <x v="0"/>
    <n v="5.6980732739746021E-2"/>
    <n v="442"/>
  </r>
  <r>
    <s v="SP175"/>
    <x v="1"/>
    <d v="2025-04-01T00:00:00"/>
    <x v="1"/>
    <s v="Music that moves youâ€”only on Spotify."/>
    <n v="2665"/>
    <n v="143"/>
    <n v="315"/>
    <n v="54808"/>
    <n v="29818"/>
    <n v="98"/>
    <x v="3"/>
    <x v="0"/>
    <n v="5.6980732739746021E-2"/>
    <n v="442"/>
  </r>
  <r>
    <s v="SP176"/>
    <x v="0"/>
    <d v="2024-07-02T00:00:00"/>
    <x v="0"/>
    <s v="Top trending tracks updated daily!"/>
    <n v="3469"/>
    <n v="371"/>
    <n v="76"/>
    <n v="46493"/>
    <n v="26906"/>
    <n v="150"/>
    <x v="0"/>
    <x v="0"/>
    <n v="8.4227733207149463E-2"/>
    <n v="340"/>
  </r>
  <r>
    <s v="SP176"/>
    <x v="0"/>
    <d v="2024-07-02T00:00:00"/>
    <x v="0"/>
    <s v="Top trending tracks updated daily!"/>
    <n v="3469"/>
    <n v="371"/>
    <n v="76"/>
    <n v="46493"/>
    <n v="26906"/>
    <n v="150"/>
    <x v="1"/>
    <x v="0"/>
    <n v="8.4227733207149463E-2"/>
    <n v="340"/>
  </r>
  <r>
    <s v="SP177"/>
    <x v="1"/>
    <d v="2024-11-10T00:00:00"/>
    <x v="0"/>
    <s v="Explore the latest podcasts now."/>
    <n v="4823"/>
    <n v="489"/>
    <n v="302"/>
    <n v="32470"/>
    <n v="31861"/>
    <n v="178"/>
    <x v="0"/>
    <x v="1"/>
    <n v="0.1728980597474592"/>
    <n v="266"/>
  </r>
  <r>
    <s v="SP178"/>
    <x v="0"/>
    <d v="2024-12-14T00:00:00"/>
    <x v="1"/>
    <s v="From pop to podcasts, itâ€™s all here."/>
    <n v="3812"/>
    <n v="321"/>
    <n v="289"/>
    <n v="59838"/>
    <n v="36337"/>
    <n v="161"/>
    <x v="1"/>
    <x v="2"/>
    <n v="7.3899528727564417E-2"/>
    <n v="313"/>
  </r>
  <r>
    <s v="SP179"/>
    <x v="1"/>
    <d v="2024-11-19T00:00:00"/>
    <x v="0"/>
    <s v="Explore the latest podcasts now."/>
    <n v="2387"/>
    <n v="353"/>
    <n v="78"/>
    <n v="39745"/>
    <n v="69226"/>
    <n v="208"/>
    <x v="0"/>
    <x v="1"/>
    <n v="7.090200025160398E-2"/>
    <n v="208"/>
  </r>
  <r>
    <s v="SP180"/>
    <x v="1"/>
    <d v="2025-04-30T00:00:00"/>
    <x v="1"/>
    <s v="Wrapped is here! Relive your top tracks ðŸŽ§"/>
    <n v="3929"/>
    <n v="275"/>
    <n v="330"/>
    <n v="58329"/>
    <n v="33196"/>
    <n v="85"/>
    <x v="3"/>
    <x v="0"/>
    <n v="7.7731488624869283E-2"/>
    <n v="469"/>
  </r>
  <r>
    <s v="SP180"/>
    <x v="1"/>
    <d v="2025-04-30T00:00:00"/>
    <x v="1"/>
    <s v="Wrapped is here! Relive your top tracks ðŸŽ§"/>
    <n v="3929"/>
    <n v="275"/>
    <n v="330"/>
    <n v="58329"/>
    <n v="33196"/>
    <n v="85"/>
    <x v="1"/>
    <x v="0"/>
    <n v="7.7731488624869283E-2"/>
    <n v="469"/>
  </r>
  <r>
    <s v="SP181"/>
    <x v="1"/>
    <d v="2024-03-19T00:00:00"/>
    <x v="0"/>
    <s v="From pop to podcasts, itâ€™s all here."/>
    <n v="2191"/>
    <n v="288"/>
    <n v="83"/>
    <n v="59606"/>
    <n v="24765"/>
    <n v="281"/>
    <x v="0"/>
    <x v="1"/>
    <n v="4.2982250109049422E-2"/>
    <n v="43"/>
  </r>
  <r>
    <s v="SP182"/>
    <x v="0"/>
    <d v="2024-03-19T00:00:00"/>
    <x v="0"/>
    <s v="From pop to podcasts, itâ€™s all here."/>
    <n v="2878"/>
    <n v="278"/>
    <n v="255"/>
    <n v="47235"/>
    <n v="57922"/>
    <n v="112"/>
    <x v="0"/>
    <x v="0"/>
    <n v="7.2213401079707848E-2"/>
    <n v="412"/>
  </r>
  <r>
    <s v="SP182"/>
    <x v="0"/>
    <d v="2024-03-19T00:00:00"/>
    <x v="0"/>
    <s v="From pop to podcasts, itâ€™s all here."/>
    <n v="2878"/>
    <n v="278"/>
    <n v="255"/>
    <n v="47235"/>
    <n v="57922"/>
    <n v="112"/>
    <x v="1"/>
    <x v="0"/>
    <n v="7.2213401079707848E-2"/>
    <n v="412"/>
  </r>
  <r>
    <s v="SP183"/>
    <x v="1"/>
    <d v="2024-07-23T00:00:00"/>
    <x v="0"/>
    <s v="Top trending tracks updated daily!"/>
    <n v="3204"/>
    <n v="398"/>
    <n v="85"/>
    <n v="22020"/>
    <n v="58353"/>
    <n v="286"/>
    <x v="0"/>
    <x v="1"/>
    <n v="0.16743869209809265"/>
    <n v="33"/>
  </r>
  <r>
    <s v="SP184"/>
    <x v="1"/>
    <d v="2024-07-13T00:00:00"/>
    <x v="1"/>
    <s v="Get into the groove with our new drop!"/>
    <n v="2408"/>
    <n v="323"/>
    <n v="251"/>
    <n v="47599"/>
    <n v="35543"/>
    <n v="287"/>
    <x v="3"/>
    <x v="0"/>
    <n v="6.2648374965860634E-2"/>
    <n v="29"/>
  </r>
  <r>
    <s v="SP184"/>
    <x v="1"/>
    <d v="2024-07-13T00:00:00"/>
    <x v="1"/>
    <s v="Get into the groove with our new drop!"/>
    <n v="2408"/>
    <n v="323"/>
    <n v="251"/>
    <n v="47599"/>
    <n v="35543"/>
    <n v="287"/>
    <x v="1"/>
    <x v="0"/>
    <n v="6.2648374965860634E-2"/>
    <n v="29"/>
  </r>
  <r>
    <s v="SP185"/>
    <x v="2"/>
    <d v="2025-04-22T00:00:00"/>
    <x v="2"/>
    <s v="New music just dropped. Hit play!"/>
    <n v="2733"/>
    <n v="297"/>
    <n v="235"/>
    <n v="37980"/>
    <n v="33058"/>
    <n v="219"/>
    <x v="2"/>
    <x v="3"/>
    <n v="8.5966298051606105E-2"/>
    <n v="180"/>
  </r>
  <r>
    <s v="SP185"/>
    <x v="2"/>
    <d v="2025-04-22T00:00:00"/>
    <x v="2"/>
    <s v="New music just dropped. Hit play!"/>
    <n v="2733"/>
    <n v="297"/>
    <n v="235"/>
    <n v="37980"/>
    <n v="33058"/>
    <n v="219"/>
    <x v="0"/>
    <x v="3"/>
    <n v="8.5966298051606105E-2"/>
    <n v="180"/>
  </r>
  <r>
    <s v="SP186"/>
    <x v="1"/>
    <d v="2024-06-16T00:00:00"/>
    <x v="1"/>
    <s v="Explore the latest podcasts now."/>
    <n v="4618"/>
    <n v="312"/>
    <n v="254"/>
    <n v="22571"/>
    <n v="29453"/>
    <n v="197"/>
    <x v="3"/>
    <x v="0"/>
    <n v="0.22967524699836073"/>
    <n v="232"/>
  </r>
  <r>
    <s v="SP186"/>
    <x v="1"/>
    <d v="2024-06-16T00:00:00"/>
    <x v="1"/>
    <s v="Explore the latest podcasts now."/>
    <n v="4618"/>
    <n v="312"/>
    <n v="254"/>
    <n v="22571"/>
    <n v="29453"/>
    <n v="197"/>
    <x v="1"/>
    <x v="0"/>
    <n v="0.22967524699836073"/>
    <n v="232"/>
  </r>
  <r>
    <s v="SP187"/>
    <x v="2"/>
    <d v="2025-05-18T00:00:00"/>
    <x v="2"/>
    <s v="Wrapped is here! Relive your top tracks ðŸŽ§"/>
    <n v="4210"/>
    <n v="319"/>
    <n v="350"/>
    <n v="37762"/>
    <n v="55162"/>
    <n v="204"/>
    <x v="2"/>
    <x v="3"/>
    <n v="0.12920396165457337"/>
    <n v="221"/>
  </r>
  <r>
    <s v="SP187"/>
    <x v="2"/>
    <d v="2025-05-18T00:00:00"/>
    <x v="2"/>
    <s v="Wrapped is here! Relive your top tracks ðŸŽ§"/>
    <n v="4210"/>
    <n v="319"/>
    <n v="350"/>
    <n v="37762"/>
    <n v="55162"/>
    <n v="204"/>
    <x v="0"/>
    <x v="3"/>
    <n v="0.12920396165457337"/>
    <n v="221"/>
  </r>
  <r>
    <s v="SP188"/>
    <x v="0"/>
    <d v="2025-06-06T00:00:00"/>
    <x v="0"/>
    <s v="Wrapped is here! Relive your top tracks ðŸŽ§"/>
    <n v="3987"/>
    <n v="171"/>
    <n v="274"/>
    <n v="45122"/>
    <n v="65431"/>
    <n v="168"/>
    <x v="2"/>
    <x v="1"/>
    <n v="9.8222596516111871E-2"/>
    <n v="300"/>
  </r>
  <r>
    <s v="SP189"/>
    <x v="2"/>
    <d v="2025-02-20T00:00:00"/>
    <x v="2"/>
    <s v="Get into the groove with our new drop!"/>
    <n v="4957"/>
    <n v="262"/>
    <n v="365"/>
    <n v="49199"/>
    <n v="40314"/>
    <n v="216"/>
    <x v="2"/>
    <x v="3"/>
    <n v="0.11349824183418362"/>
    <n v="185"/>
  </r>
  <r>
    <s v="SP189"/>
    <x v="2"/>
    <d v="2025-02-20T00:00:00"/>
    <x v="2"/>
    <s v="Get into the groove with our new drop!"/>
    <n v="4957"/>
    <n v="262"/>
    <n v="365"/>
    <n v="49199"/>
    <n v="40314"/>
    <n v="216"/>
    <x v="0"/>
    <x v="3"/>
    <n v="0.11349824183418362"/>
    <n v="185"/>
  </r>
  <r>
    <s v="SP190"/>
    <x v="0"/>
    <d v="2025-01-16T00:00:00"/>
    <x v="0"/>
    <s v="Music that moves youâ€”only on Spotify."/>
    <n v="2605"/>
    <n v="282"/>
    <n v="148"/>
    <n v="32201"/>
    <n v="49583"/>
    <n v="241"/>
    <x v="0"/>
    <x v="0"/>
    <n v="9.4251731312692155E-2"/>
    <n v="126"/>
  </r>
  <r>
    <s v="SP190"/>
    <x v="0"/>
    <d v="2025-01-16T00:00:00"/>
    <x v="0"/>
    <s v="Music that moves youâ€”only on Spotify."/>
    <n v="2605"/>
    <n v="282"/>
    <n v="148"/>
    <n v="32201"/>
    <n v="49583"/>
    <n v="241"/>
    <x v="1"/>
    <x v="0"/>
    <n v="9.4251731312692155E-2"/>
    <n v="126"/>
  </r>
  <r>
    <s v="SP191"/>
    <x v="2"/>
    <d v="2024-02-24T00:00:00"/>
    <x v="2"/>
    <s v="Discover fresh beats on Spotify!"/>
    <n v="4221"/>
    <n v="307"/>
    <n v="58"/>
    <n v="45080"/>
    <n v="37214"/>
    <n v="240"/>
    <x v="2"/>
    <x v="3"/>
    <n v="0.10173025732031943"/>
    <n v="129"/>
  </r>
  <r>
    <s v="SP191"/>
    <x v="2"/>
    <d v="2024-02-24T00:00:00"/>
    <x v="2"/>
    <s v="Discover fresh beats on Spotify!"/>
    <n v="4221"/>
    <n v="307"/>
    <n v="58"/>
    <n v="45080"/>
    <n v="37214"/>
    <n v="240"/>
    <x v="0"/>
    <x v="3"/>
    <n v="0.10173025732031943"/>
    <n v="129"/>
  </r>
  <r>
    <s v="SP192"/>
    <x v="1"/>
    <d v="2024-09-16T00:00:00"/>
    <x v="1"/>
    <s v="Whatâ€™s your vibe today? #SpotifyHits"/>
    <n v="4422"/>
    <n v="434"/>
    <n v="156"/>
    <n v="56165"/>
    <n v="52431"/>
    <n v="173"/>
    <x v="2"/>
    <x v="0"/>
    <n v="8.9237069349238848E-2"/>
    <n v="283"/>
  </r>
  <r>
    <s v="SP192"/>
    <x v="1"/>
    <d v="2024-09-16T00:00:00"/>
    <x v="1"/>
    <s v="Whatâ€™s your vibe today? #SpotifyHits"/>
    <n v="4422"/>
    <n v="434"/>
    <n v="156"/>
    <n v="56165"/>
    <n v="52431"/>
    <n v="173"/>
    <x v="3"/>
    <x v="0"/>
    <n v="8.9237069349238848E-2"/>
    <n v="283"/>
  </r>
  <r>
    <s v="SP193"/>
    <x v="2"/>
    <d v="2024-06-04T00:00:00"/>
    <x v="2"/>
    <s v="Wrapped is here! Relive your top tracks ðŸŽ§"/>
    <n v="1211"/>
    <n v="431"/>
    <n v="83"/>
    <n v="26532"/>
    <n v="47305"/>
    <n v="232"/>
    <x v="2"/>
    <x v="3"/>
    <n v="6.5015829941203071E-2"/>
    <n v="148"/>
  </r>
  <r>
    <s v="SP193"/>
    <x v="2"/>
    <d v="2024-06-04T00:00:00"/>
    <x v="2"/>
    <s v="Wrapped is here! Relive your top tracks ðŸŽ§"/>
    <n v="1211"/>
    <n v="431"/>
    <n v="83"/>
    <n v="26532"/>
    <n v="47305"/>
    <n v="232"/>
    <x v="0"/>
    <x v="3"/>
    <n v="6.5015829941203071E-2"/>
    <n v="148"/>
  </r>
  <r>
    <s v="SP194"/>
    <x v="1"/>
    <d v="2024-05-10T00:00:00"/>
    <x v="1"/>
    <s v="Explore the latest podcasts now."/>
    <n v="2784"/>
    <n v="111"/>
    <n v="399"/>
    <n v="58366"/>
    <n v="69512"/>
    <n v="269"/>
    <x v="3"/>
    <x v="0"/>
    <n v="5.6436966727204191E-2"/>
    <n v="79"/>
  </r>
  <r>
    <s v="SP194"/>
    <x v="1"/>
    <d v="2024-05-10T00:00:00"/>
    <x v="1"/>
    <s v="Explore the latest podcasts now."/>
    <n v="2784"/>
    <n v="111"/>
    <n v="399"/>
    <n v="58366"/>
    <n v="69512"/>
    <n v="269"/>
    <x v="1"/>
    <x v="0"/>
    <n v="5.6436966727204191E-2"/>
    <n v="79"/>
  </r>
  <r>
    <s v="SP195"/>
    <x v="2"/>
    <d v="2024-01-14T00:00:00"/>
    <x v="0"/>
    <s v="New music just dropped. Hit play!"/>
    <n v="3634"/>
    <n v="280"/>
    <n v="399"/>
    <n v="40256"/>
    <n v="52605"/>
    <n v="213"/>
    <x v="2"/>
    <x v="1"/>
    <n v="0.10713930842607314"/>
    <n v="193"/>
  </r>
  <r>
    <s v="SP195"/>
    <x v="2"/>
    <d v="2024-01-14T00:00:00"/>
    <x v="0"/>
    <s v="New music just dropped. Hit play!"/>
    <n v="3634"/>
    <n v="280"/>
    <n v="399"/>
    <n v="40256"/>
    <n v="52605"/>
    <n v="213"/>
    <x v="4"/>
    <x v="1"/>
    <n v="0.10713930842607314"/>
    <n v="193"/>
  </r>
  <r>
    <s v="SP196"/>
    <x v="0"/>
    <d v="2025-01-12T00:00:00"/>
    <x v="0"/>
    <s v="From pop to podcasts, itâ€™s all here."/>
    <n v="1771"/>
    <n v="487"/>
    <n v="272"/>
    <n v="48810"/>
    <n v="48084"/>
    <n v="272"/>
    <x v="0"/>
    <x v="0"/>
    <n v="5.1833640647408315E-2"/>
    <n v="65"/>
  </r>
  <r>
    <s v="SP196"/>
    <x v="0"/>
    <d v="2025-01-12T00:00:00"/>
    <x v="0"/>
    <s v="From pop to podcasts, itâ€™s all here."/>
    <n v="1771"/>
    <n v="487"/>
    <n v="272"/>
    <n v="48810"/>
    <n v="48084"/>
    <n v="272"/>
    <x v="1"/>
    <x v="0"/>
    <n v="5.1833640647408315E-2"/>
    <n v="65"/>
  </r>
  <r>
    <s v="SP197"/>
    <x v="2"/>
    <d v="2024-12-08T00:00:00"/>
    <x v="0"/>
    <s v="Top trending tracks updated daily!"/>
    <n v="1424"/>
    <n v="396"/>
    <n v="312"/>
    <n v="59517"/>
    <n v="46102"/>
    <n v="239"/>
    <x v="2"/>
    <x v="1"/>
    <n v="3.5821698002251455E-2"/>
    <n v="133"/>
  </r>
  <r>
    <s v="SP197"/>
    <x v="2"/>
    <d v="2024-12-08T00:00:00"/>
    <x v="0"/>
    <s v="Top trending tracks updated daily!"/>
    <n v="1424"/>
    <n v="396"/>
    <n v="312"/>
    <n v="59517"/>
    <n v="46102"/>
    <n v="239"/>
    <x v="4"/>
    <x v="1"/>
    <n v="3.5821698002251455E-2"/>
    <n v="133"/>
  </r>
  <r>
    <s v="SP198"/>
    <x v="1"/>
    <d v="2025-02-01T00:00:00"/>
    <x v="1"/>
    <s v="Top trending tracks updated daily!"/>
    <n v="1079"/>
    <n v="265"/>
    <n v="190"/>
    <n v="43786"/>
    <n v="72428"/>
    <n v="222"/>
    <x v="0"/>
    <x v="0"/>
    <n v="3.5034029141734799E-2"/>
    <n v="171"/>
  </r>
  <r>
    <s v="SP198"/>
    <x v="1"/>
    <d v="2025-02-01T00:00:00"/>
    <x v="1"/>
    <s v="Top trending tracks updated daily!"/>
    <n v="1079"/>
    <n v="265"/>
    <n v="190"/>
    <n v="43786"/>
    <n v="72428"/>
    <n v="222"/>
    <x v="1"/>
    <x v="0"/>
    <n v="3.5034029141734799E-2"/>
    <n v="171"/>
  </r>
  <r>
    <s v="SP199"/>
    <x v="1"/>
    <d v="2024-07-11T00:00:00"/>
    <x v="1"/>
    <s v="Get into the groove with our new drop!"/>
    <n v="4247"/>
    <n v="179"/>
    <n v="175"/>
    <n v="32991"/>
    <n v="70120"/>
    <n v="276"/>
    <x v="0"/>
    <x v="0"/>
    <n v="0.13946227759085811"/>
    <n v="54"/>
  </r>
  <r>
    <s v="SP199"/>
    <x v="1"/>
    <d v="2024-07-11T00:00:00"/>
    <x v="1"/>
    <s v="Get into the groove with our new drop!"/>
    <n v="4247"/>
    <n v="179"/>
    <n v="175"/>
    <n v="32991"/>
    <n v="70120"/>
    <n v="276"/>
    <x v="1"/>
    <x v="0"/>
    <n v="0.13946227759085811"/>
    <n v="54"/>
  </r>
  <r>
    <s v="SP200"/>
    <x v="1"/>
    <d v="2024-03-18T00:00:00"/>
    <x v="0"/>
    <s v="New music just dropped. Hit play!"/>
    <n v="2033"/>
    <n v="420"/>
    <n v="94"/>
    <n v="56290"/>
    <n v="57391"/>
    <n v="196"/>
    <x v="1"/>
    <x v="0"/>
    <n v="4.5247823769763724E-2"/>
    <n v="237"/>
  </r>
  <r>
    <s v="SP201"/>
    <x v="1"/>
    <d v="2024-09-12T00:00:00"/>
    <x v="1"/>
    <s v="Wrapped is here! Relive your top tracks ðŸŽ§"/>
    <n v="1839"/>
    <n v="223"/>
    <n v="171"/>
    <n v="35459"/>
    <n v="69988"/>
    <n v="114"/>
    <x v="3"/>
    <x v="0"/>
    <n v="6.2974139146620034E-2"/>
    <n v="404"/>
  </r>
  <r>
    <s v="SP201"/>
    <x v="1"/>
    <d v="2024-09-12T00:00:00"/>
    <x v="1"/>
    <s v="Wrapped is here! Relive your top tracks ðŸŽ§"/>
    <n v="1839"/>
    <n v="223"/>
    <n v="171"/>
    <n v="35459"/>
    <n v="69988"/>
    <n v="114"/>
    <x v="1"/>
    <x v="0"/>
    <n v="6.2974139146620034E-2"/>
    <n v="404"/>
  </r>
  <r>
    <s v="SP202"/>
    <x v="1"/>
    <d v="2024-01-11T00:00:00"/>
    <x v="1"/>
    <s v="Wrapped is here! Relive your top tracks ðŸŽ§"/>
    <n v="2340"/>
    <n v="141"/>
    <n v="206"/>
    <n v="24916"/>
    <n v="30582"/>
    <n v="157"/>
    <x v="0"/>
    <x v="0"/>
    <n v="0.10784235029699792"/>
    <n v="327"/>
  </r>
  <r>
    <s v="SP202"/>
    <x v="1"/>
    <d v="2024-01-11T00:00:00"/>
    <x v="1"/>
    <s v="Wrapped is here! Relive your top tracks ðŸŽ§"/>
    <n v="2340"/>
    <n v="141"/>
    <n v="206"/>
    <n v="24916"/>
    <n v="30582"/>
    <n v="157"/>
    <x v="1"/>
    <x v="0"/>
    <n v="0.10784235029699792"/>
    <n v="327"/>
  </r>
  <r>
    <s v="SP203"/>
    <x v="0"/>
    <d v="2024-10-06T00:00:00"/>
    <x v="0"/>
    <s v="Top trending tracks updated daily!"/>
    <n v="2080"/>
    <n v="389"/>
    <n v="92"/>
    <n v="30971"/>
    <n v="25347"/>
    <n v="111"/>
    <x v="2"/>
    <x v="1"/>
    <n v="8.2690258629040073E-2"/>
    <n v="416"/>
  </r>
  <r>
    <s v="SP204"/>
    <x v="1"/>
    <d v="2024-12-30T00:00:00"/>
    <x v="0"/>
    <s v="Get into the groove with our new drop!"/>
    <n v="4214"/>
    <n v="286"/>
    <n v="127"/>
    <n v="47293"/>
    <n v="27184"/>
    <n v="232"/>
    <x v="1"/>
    <x v="0"/>
    <n v="9.7836889180216949E-2"/>
    <n v="148"/>
  </r>
  <r>
    <s v="SP205"/>
    <x v="1"/>
    <d v="2025-04-16T00:00:00"/>
    <x v="0"/>
    <s v="Wrapped is here! Relive your top tracks ðŸŽ§"/>
    <n v="3792"/>
    <n v="315"/>
    <n v="120"/>
    <n v="54592"/>
    <n v="67886"/>
    <n v="117"/>
    <x v="0"/>
    <x v="1"/>
    <n v="7.7428927315357568E-2"/>
    <n v="401"/>
  </r>
  <r>
    <s v="SP206"/>
    <x v="1"/>
    <d v="2024-08-21T00:00:00"/>
    <x v="1"/>
    <s v="Explore the latest podcasts now."/>
    <n v="3989"/>
    <n v="476"/>
    <n v="128"/>
    <n v="57569"/>
    <n v="40193"/>
    <n v="222"/>
    <x v="2"/>
    <x v="0"/>
    <n v="7.9782521843353188E-2"/>
    <n v="171"/>
  </r>
  <r>
    <s v="SP206"/>
    <x v="1"/>
    <d v="2024-08-21T00:00:00"/>
    <x v="1"/>
    <s v="Explore the latest podcasts now."/>
    <n v="3989"/>
    <n v="476"/>
    <n v="128"/>
    <n v="57569"/>
    <n v="40193"/>
    <n v="222"/>
    <x v="3"/>
    <x v="0"/>
    <n v="7.9782521843353188E-2"/>
    <n v="171"/>
  </r>
  <r>
    <s v="SP207"/>
    <x v="1"/>
    <d v="2024-04-05T00:00:00"/>
    <x v="1"/>
    <s v="Wrapped is here! Relive your top tracks ðŸŽ§"/>
    <n v="2857"/>
    <n v="443"/>
    <n v="359"/>
    <n v="51519"/>
    <n v="28256"/>
    <n v="155"/>
    <x v="0"/>
    <x v="0"/>
    <n v="7.1022341272152026E-2"/>
    <n v="335"/>
  </r>
  <r>
    <s v="SP207"/>
    <x v="1"/>
    <d v="2024-04-05T00:00:00"/>
    <x v="1"/>
    <s v="Wrapped is here! Relive your top tracks ðŸŽ§"/>
    <n v="2857"/>
    <n v="443"/>
    <n v="359"/>
    <n v="51519"/>
    <n v="28256"/>
    <n v="155"/>
    <x v="1"/>
    <x v="0"/>
    <n v="7.1022341272152026E-2"/>
    <n v="335"/>
  </r>
  <r>
    <s v="SP208"/>
    <x v="1"/>
    <d v="2025-04-07T00:00:00"/>
    <x v="0"/>
    <s v="From pop to podcasts, itâ€™s all here."/>
    <n v="1403"/>
    <n v="385"/>
    <n v="344"/>
    <n v="54223"/>
    <n v="72595"/>
    <n v="239"/>
    <x v="0"/>
    <x v="1"/>
    <n v="3.9319108127547353E-2"/>
    <n v="133"/>
  </r>
  <r>
    <s v="SP209"/>
    <x v="1"/>
    <d v="2024-07-19T00:00:00"/>
    <x v="1"/>
    <s v="Whatâ€™s your vibe today? #SpotifyHits"/>
    <n v="3071"/>
    <n v="126"/>
    <n v="200"/>
    <n v="44013"/>
    <n v="44679"/>
    <n v="118"/>
    <x v="2"/>
    <x v="0"/>
    <n v="7.7181741758116915E-2"/>
    <n v="397"/>
  </r>
  <r>
    <s v="SP209"/>
    <x v="1"/>
    <d v="2024-07-19T00:00:00"/>
    <x v="1"/>
    <s v="Whatâ€™s your vibe today? #SpotifyHits"/>
    <n v="3071"/>
    <n v="126"/>
    <n v="200"/>
    <n v="44013"/>
    <n v="44679"/>
    <n v="118"/>
    <x v="3"/>
    <x v="0"/>
    <n v="7.7181741758116915E-2"/>
    <n v="397"/>
  </r>
  <r>
    <s v="SP210"/>
    <x v="1"/>
    <d v="2025-05-03T00:00:00"/>
    <x v="1"/>
    <s v="Top trending tracks updated daily!"/>
    <n v="1010"/>
    <n v="361"/>
    <n v="240"/>
    <n v="47229"/>
    <n v="72573"/>
    <n v="275"/>
    <x v="0"/>
    <x v="0"/>
    <n v="3.4110398272247981E-2"/>
    <n v="57"/>
  </r>
  <r>
    <s v="SP210"/>
    <x v="1"/>
    <d v="2025-05-03T00:00:00"/>
    <x v="1"/>
    <s v="Top trending tracks updated daily!"/>
    <n v="1010"/>
    <n v="361"/>
    <n v="240"/>
    <n v="47229"/>
    <n v="72573"/>
    <n v="275"/>
    <x v="1"/>
    <x v="0"/>
    <n v="3.4110398272247981E-2"/>
    <n v="57"/>
  </r>
  <r>
    <s v="SP211"/>
    <x v="1"/>
    <d v="2024-04-14T00:00:00"/>
    <x v="1"/>
    <s v="Discover fresh beats on Spotify!"/>
    <n v="1295"/>
    <n v="153"/>
    <n v="81"/>
    <n v="48350"/>
    <n v="61033"/>
    <n v="232"/>
    <x v="2"/>
    <x v="0"/>
    <n v="3.1623578076525334E-2"/>
    <n v="148"/>
  </r>
  <r>
    <s v="SP211"/>
    <x v="1"/>
    <d v="2024-04-14T00:00:00"/>
    <x v="1"/>
    <s v="Discover fresh beats on Spotify!"/>
    <n v="1295"/>
    <n v="153"/>
    <n v="81"/>
    <n v="48350"/>
    <n v="61033"/>
    <n v="232"/>
    <x v="3"/>
    <x v="0"/>
    <n v="3.1623578076525334E-2"/>
    <n v="148"/>
  </r>
  <r>
    <s v="SP212"/>
    <x v="1"/>
    <d v="2025-06-19T00:00:00"/>
    <x v="1"/>
    <s v="Whatâ€™s your vibe today? #SpotifyHits"/>
    <n v="1433"/>
    <n v="452"/>
    <n v="305"/>
    <n v="54541"/>
    <n v="63700"/>
    <n v="296"/>
    <x v="2"/>
    <x v="0"/>
    <n v="4.0153279184466734E-2"/>
    <n v="9"/>
  </r>
  <r>
    <s v="SP212"/>
    <x v="1"/>
    <d v="2025-06-19T00:00:00"/>
    <x v="1"/>
    <s v="Whatâ€™s your vibe today? #SpotifyHits"/>
    <n v="1433"/>
    <n v="452"/>
    <n v="305"/>
    <n v="54541"/>
    <n v="63700"/>
    <n v="296"/>
    <x v="3"/>
    <x v="0"/>
    <n v="4.0153279184466734E-2"/>
    <n v="9"/>
  </r>
  <r>
    <s v="SP213"/>
    <x v="0"/>
    <d v="2025-06-24T00:00:00"/>
    <x v="1"/>
    <s v="Get into the groove with our new drop!"/>
    <n v="4902"/>
    <n v="422"/>
    <n v="376"/>
    <n v="31674"/>
    <n v="53225"/>
    <n v="147"/>
    <x v="1"/>
    <x v="2"/>
    <n v="0.17995832544042431"/>
    <n v="346"/>
  </r>
  <r>
    <s v="SP214"/>
    <x v="1"/>
    <d v="2024-10-09T00:00:00"/>
    <x v="0"/>
    <s v="Wrapped is here! Relive your top tracks ðŸŽ§"/>
    <n v="2659"/>
    <n v="167"/>
    <n v="73"/>
    <n v="23090"/>
    <n v="25872"/>
    <n v="293"/>
    <x v="0"/>
    <x v="1"/>
    <n v="0.12555218709398008"/>
    <n v="16"/>
  </r>
  <r>
    <s v="SP215"/>
    <x v="2"/>
    <d v="2025-01-15T00:00:00"/>
    <x v="0"/>
    <s v="Your weekend playlist is waiting."/>
    <n v="2599"/>
    <n v="324"/>
    <n v="182"/>
    <n v="37525"/>
    <n v="37216"/>
    <n v="186"/>
    <x v="2"/>
    <x v="1"/>
    <n v="8.2744836775483013E-2"/>
    <n v="251"/>
  </r>
  <r>
    <s v="SP215"/>
    <x v="2"/>
    <d v="2025-01-15T00:00:00"/>
    <x v="0"/>
    <s v="Your weekend playlist is waiting."/>
    <n v="2599"/>
    <n v="324"/>
    <n v="182"/>
    <n v="37525"/>
    <n v="37216"/>
    <n v="186"/>
    <x v="4"/>
    <x v="1"/>
    <n v="8.2744836775483013E-2"/>
    <n v="251"/>
  </r>
  <r>
    <s v="SP216"/>
    <x v="1"/>
    <d v="2025-01-12T00:00:00"/>
    <x v="0"/>
    <s v="Music that moves youâ€”only on Spotify."/>
    <n v="1765"/>
    <n v="285"/>
    <n v="100"/>
    <n v="41313"/>
    <n v="56575"/>
    <n v="174"/>
    <x v="0"/>
    <x v="1"/>
    <n v="5.2041730205988429E-2"/>
    <n v="279"/>
  </r>
  <r>
    <s v="SP217"/>
    <x v="0"/>
    <d v="2025-05-31T00:00:00"/>
    <x v="0"/>
    <s v="Whatâ€™s your vibe today? #SpotifyHits"/>
    <n v="2169"/>
    <n v="240"/>
    <n v="57"/>
    <n v="26109"/>
    <n v="46667"/>
    <n v="133"/>
    <x v="0"/>
    <x v="0"/>
    <n v="9.4450189589796618E-2"/>
    <n v="365"/>
  </r>
  <r>
    <s v="SP217"/>
    <x v="0"/>
    <d v="2025-05-31T00:00:00"/>
    <x v="0"/>
    <s v="Whatâ€™s your vibe today? #SpotifyHits"/>
    <n v="2169"/>
    <n v="240"/>
    <n v="57"/>
    <n v="26109"/>
    <n v="46667"/>
    <n v="133"/>
    <x v="1"/>
    <x v="0"/>
    <n v="9.4450189589796618E-2"/>
    <n v="365"/>
  </r>
  <r>
    <s v="SP218"/>
    <x v="1"/>
    <d v="2024-10-14T00:00:00"/>
    <x v="1"/>
    <s v="Explore the latest podcasts now."/>
    <n v="4303"/>
    <n v="306"/>
    <n v="302"/>
    <n v="39575"/>
    <n v="33762"/>
    <n v="265"/>
    <x v="2"/>
    <x v="0"/>
    <n v="0.12409349336702463"/>
    <n v="88"/>
  </r>
  <r>
    <s v="SP218"/>
    <x v="1"/>
    <d v="2024-10-14T00:00:00"/>
    <x v="1"/>
    <s v="Explore the latest podcasts now."/>
    <n v="4303"/>
    <n v="306"/>
    <n v="302"/>
    <n v="39575"/>
    <n v="33762"/>
    <n v="265"/>
    <x v="3"/>
    <x v="0"/>
    <n v="0.12409349336702463"/>
    <n v="88"/>
  </r>
  <r>
    <s v="SP219"/>
    <x v="1"/>
    <d v="2024-02-10T00:00:00"/>
    <x v="0"/>
    <s v="From pop to podcasts, itâ€™s all here."/>
    <n v="1519"/>
    <n v="456"/>
    <n v="379"/>
    <n v="51611"/>
    <n v="45880"/>
    <n v="176"/>
    <x v="0"/>
    <x v="1"/>
    <n v="4.5610431884675749E-2"/>
    <n v="272"/>
  </r>
  <r>
    <s v="SP220"/>
    <x v="2"/>
    <d v="2024-12-10T00:00:00"/>
    <x v="0"/>
    <s v="Whatâ€™s your vibe today? #SpotifyHits"/>
    <n v="2569"/>
    <n v="140"/>
    <n v="375"/>
    <n v="38372"/>
    <n v="22102"/>
    <n v="255"/>
    <x v="2"/>
    <x v="1"/>
    <n v="8.0371103929948923E-2"/>
    <n v="114"/>
  </r>
  <r>
    <s v="SP220"/>
    <x v="2"/>
    <d v="2024-12-10T00:00:00"/>
    <x v="0"/>
    <s v="Whatâ€™s your vibe today? #SpotifyHits"/>
    <n v="2569"/>
    <n v="140"/>
    <n v="375"/>
    <n v="38372"/>
    <n v="22102"/>
    <n v="255"/>
    <x v="4"/>
    <x v="1"/>
    <n v="8.0371103929948923E-2"/>
    <n v="114"/>
  </r>
  <r>
    <s v="SP221"/>
    <x v="1"/>
    <d v="2025-05-09T00:00:00"/>
    <x v="1"/>
    <s v="Music that moves youâ€”only on Spotify."/>
    <n v="2778"/>
    <n v="241"/>
    <n v="317"/>
    <n v="26247"/>
    <n v="20677"/>
    <n v="282"/>
    <x v="3"/>
    <x v="0"/>
    <n v="0.1271002400274317"/>
    <n v="38"/>
  </r>
  <r>
    <s v="SP221"/>
    <x v="1"/>
    <d v="2025-05-09T00:00:00"/>
    <x v="1"/>
    <s v="Music that moves youâ€”only on Spotify."/>
    <n v="2778"/>
    <n v="241"/>
    <n v="317"/>
    <n v="26247"/>
    <n v="20677"/>
    <n v="282"/>
    <x v="1"/>
    <x v="0"/>
    <n v="0.1271002400274317"/>
    <n v="38"/>
  </r>
  <r>
    <s v="SP222"/>
    <x v="1"/>
    <d v="2025-06-21T00:00:00"/>
    <x v="0"/>
    <s v="Explore the latest podcasts now."/>
    <n v="3611"/>
    <n v="127"/>
    <n v="139"/>
    <n v="44768"/>
    <n v="29435"/>
    <n v="178"/>
    <x v="1"/>
    <x v="0"/>
    <n v="8.6602037169406718E-2"/>
    <n v="266"/>
  </r>
  <r>
    <s v="SP223"/>
    <x v="1"/>
    <d v="2024-06-19T00:00:00"/>
    <x v="0"/>
    <s v="Whatâ€™s your vibe today? #SpotifyHits"/>
    <n v="1224"/>
    <n v="168"/>
    <n v="199"/>
    <n v="54232"/>
    <n v="52844"/>
    <n v="271"/>
    <x v="0"/>
    <x v="1"/>
    <n v="2.9336922849977874E-2"/>
    <n v="72"/>
  </r>
  <r>
    <s v="SP224"/>
    <x v="1"/>
    <d v="2024-12-10T00:00:00"/>
    <x v="0"/>
    <s v="From pop to podcasts, itâ€™s all here."/>
    <n v="4673"/>
    <n v="270"/>
    <n v="93"/>
    <n v="45260"/>
    <n v="57513"/>
    <n v="103"/>
    <x v="1"/>
    <x v="0"/>
    <n v="0.11126822801590809"/>
    <n v="432"/>
  </r>
  <r>
    <s v="SP225"/>
    <x v="2"/>
    <d v="2024-02-01T00:00:00"/>
    <x v="0"/>
    <s v="Wrapped is here! Relive your top tracks ðŸŽ§"/>
    <n v="1432"/>
    <n v="437"/>
    <n v="267"/>
    <n v="40634"/>
    <n v="54511"/>
    <n v="197"/>
    <x v="2"/>
    <x v="1"/>
    <n v="5.2566815966924252E-2"/>
    <n v="232"/>
  </r>
  <r>
    <s v="SP225"/>
    <x v="2"/>
    <d v="2024-02-01T00:00:00"/>
    <x v="0"/>
    <s v="Wrapped is here! Relive your top tracks ðŸŽ§"/>
    <n v="1432"/>
    <n v="437"/>
    <n v="267"/>
    <n v="40634"/>
    <n v="54511"/>
    <n v="197"/>
    <x v="4"/>
    <x v="1"/>
    <n v="5.2566815966924252E-2"/>
    <n v="232"/>
  </r>
  <r>
    <s v="SP226"/>
    <x v="1"/>
    <d v="2024-01-17T00:00:00"/>
    <x v="1"/>
    <s v="New music just dropped. Hit play!"/>
    <n v="2174"/>
    <n v="499"/>
    <n v="212"/>
    <n v="54938"/>
    <n v="27190"/>
    <n v="265"/>
    <x v="3"/>
    <x v="0"/>
    <n v="5.2513742764570971E-2"/>
    <n v="88"/>
  </r>
  <r>
    <s v="SP226"/>
    <x v="1"/>
    <d v="2024-01-17T00:00:00"/>
    <x v="1"/>
    <s v="New music just dropped. Hit play!"/>
    <n v="2174"/>
    <n v="499"/>
    <n v="212"/>
    <n v="54938"/>
    <n v="27190"/>
    <n v="265"/>
    <x v="1"/>
    <x v="0"/>
    <n v="5.2513742764570971E-2"/>
    <n v="88"/>
  </r>
  <r>
    <s v="SP227"/>
    <x v="2"/>
    <d v="2025-03-22T00:00:00"/>
    <x v="0"/>
    <s v="Music that moves youâ€”only on Spotify."/>
    <n v="4308"/>
    <n v="171"/>
    <n v="106"/>
    <n v="36955"/>
    <n v="23949"/>
    <n v="294"/>
    <x v="2"/>
    <x v="1"/>
    <n v="0.12406981463942633"/>
    <n v="14"/>
  </r>
  <r>
    <s v="SP227"/>
    <x v="2"/>
    <d v="2025-03-22T00:00:00"/>
    <x v="0"/>
    <s v="Music that moves youâ€”only on Spotify."/>
    <n v="4308"/>
    <n v="171"/>
    <n v="106"/>
    <n v="36955"/>
    <n v="23949"/>
    <n v="294"/>
    <x v="4"/>
    <x v="1"/>
    <n v="0.12406981463942633"/>
    <n v="14"/>
  </r>
  <r>
    <s v="SP228"/>
    <x v="2"/>
    <d v="2024-05-30T00:00:00"/>
    <x v="2"/>
    <s v="Whatâ€™s your vibe today? #SpotifyHits"/>
    <n v="1060"/>
    <n v="442"/>
    <n v="319"/>
    <n v="57194"/>
    <n v="24258"/>
    <n v="101"/>
    <x v="2"/>
    <x v="3"/>
    <n v="3.1839004091338254E-2"/>
    <n v="436"/>
  </r>
  <r>
    <s v="SP228"/>
    <x v="2"/>
    <d v="2024-05-30T00:00:00"/>
    <x v="2"/>
    <s v="Whatâ€™s your vibe today? #SpotifyHits"/>
    <n v="1060"/>
    <n v="442"/>
    <n v="319"/>
    <n v="57194"/>
    <n v="24258"/>
    <n v="101"/>
    <x v="0"/>
    <x v="3"/>
    <n v="3.1839004091338254E-2"/>
    <n v="436"/>
  </r>
  <r>
    <s v="SP229"/>
    <x v="2"/>
    <d v="2024-02-24T00:00:00"/>
    <x v="0"/>
    <s v="Music that moves youâ€”only on Spotify."/>
    <n v="4653"/>
    <n v="226"/>
    <n v="349"/>
    <n v="56876"/>
    <n v="28452"/>
    <n v="257"/>
    <x v="2"/>
    <x v="1"/>
    <n v="9.191926295801392E-2"/>
    <n v="110"/>
  </r>
  <r>
    <s v="SP229"/>
    <x v="2"/>
    <d v="2024-02-24T00:00:00"/>
    <x v="0"/>
    <s v="Music that moves youâ€”only on Spotify."/>
    <n v="4653"/>
    <n v="226"/>
    <n v="349"/>
    <n v="56876"/>
    <n v="28452"/>
    <n v="257"/>
    <x v="4"/>
    <x v="1"/>
    <n v="9.191926295801392E-2"/>
    <n v="110"/>
  </r>
  <r>
    <s v="SP230"/>
    <x v="2"/>
    <d v="2025-05-14T00:00:00"/>
    <x v="0"/>
    <s v="Discover fresh beats on Spotify!"/>
    <n v="1701"/>
    <n v="272"/>
    <n v="385"/>
    <n v="47496"/>
    <n v="40832"/>
    <n v="246"/>
    <x v="2"/>
    <x v="1"/>
    <n v="4.9646286003031836E-2"/>
    <n v="121"/>
  </r>
  <r>
    <s v="SP230"/>
    <x v="2"/>
    <d v="2025-05-14T00:00:00"/>
    <x v="0"/>
    <s v="Discover fresh beats on Spotify!"/>
    <n v="1701"/>
    <n v="272"/>
    <n v="385"/>
    <n v="47496"/>
    <n v="40832"/>
    <n v="246"/>
    <x v="4"/>
    <x v="1"/>
    <n v="4.9646286003031836E-2"/>
    <n v="121"/>
  </r>
  <r>
    <s v="SP231"/>
    <x v="0"/>
    <d v="2024-03-28T00:00:00"/>
    <x v="0"/>
    <s v="Whatâ€™s your vibe today? #SpotifyHits"/>
    <n v="1673"/>
    <n v="280"/>
    <n v="67"/>
    <n v="29847"/>
    <n v="48016"/>
    <n v="213"/>
    <x v="0"/>
    <x v="0"/>
    <n v="6.76784936509532E-2"/>
    <n v="193"/>
  </r>
  <r>
    <s v="SP231"/>
    <x v="0"/>
    <d v="2024-03-28T00:00:00"/>
    <x v="0"/>
    <s v="Whatâ€™s your vibe today? #SpotifyHits"/>
    <n v="1673"/>
    <n v="280"/>
    <n v="67"/>
    <n v="29847"/>
    <n v="48016"/>
    <n v="213"/>
    <x v="1"/>
    <x v="0"/>
    <n v="6.76784936509532E-2"/>
    <n v="193"/>
  </r>
  <r>
    <s v="SP232"/>
    <x v="2"/>
    <d v="2025-03-07T00:00:00"/>
    <x v="0"/>
    <s v="Top trending tracks updated daily!"/>
    <n v="4310"/>
    <n v="284"/>
    <n v="306"/>
    <n v="44606"/>
    <n v="42604"/>
    <n v="290"/>
    <x v="2"/>
    <x v="1"/>
    <n v="0.10985069273191947"/>
    <n v="22"/>
  </r>
  <r>
    <s v="SP232"/>
    <x v="2"/>
    <d v="2025-03-07T00:00:00"/>
    <x v="0"/>
    <s v="Top trending tracks updated daily!"/>
    <n v="4310"/>
    <n v="284"/>
    <n v="306"/>
    <n v="44606"/>
    <n v="42604"/>
    <n v="290"/>
    <x v="4"/>
    <x v="1"/>
    <n v="0.10985069273191947"/>
    <n v="22"/>
  </r>
  <r>
    <s v="SP233"/>
    <x v="1"/>
    <d v="2024-10-20T00:00:00"/>
    <x v="0"/>
    <s v="From pop to podcasts, itâ€™s all here."/>
    <n v="2752"/>
    <n v="309"/>
    <n v="91"/>
    <n v="39038"/>
    <n v="28095"/>
    <n v="277"/>
    <x v="1"/>
    <x v="0"/>
    <n v="8.0741841282852611E-2"/>
    <n v="48"/>
  </r>
  <r>
    <s v="SP234"/>
    <x v="1"/>
    <d v="2024-02-02T00:00:00"/>
    <x v="0"/>
    <s v="From pop to podcasts, itâ€™s all here."/>
    <n v="3818"/>
    <n v="115"/>
    <n v="286"/>
    <n v="25127"/>
    <n v="22277"/>
    <n v="263"/>
    <x v="1"/>
    <x v="0"/>
    <n v="0.16790703227603773"/>
    <n v="99"/>
  </r>
  <r>
    <s v="SP235"/>
    <x v="2"/>
    <d v="2024-09-07T00:00:00"/>
    <x v="0"/>
    <s v="Your weekend playlist is waiting."/>
    <n v="2101"/>
    <n v="411"/>
    <n v="190"/>
    <n v="41791"/>
    <n v="57090"/>
    <n v="172"/>
    <x v="2"/>
    <x v="1"/>
    <n v="6.4655069273288512E-2"/>
    <n v="288"/>
  </r>
  <r>
    <s v="SP235"/>
    <x v="2"/>
    <d v="2024-09-07T00:00:00"/>
    <x v="0"/>
    <s v="Your weekend playlist is waiting."/>
    <n v="2101"/>
    <n v="411"/>
    <n v="190"/>
    <n v="41791"/>
    <n v="57090"/>
    <n v="172"/>
    <x v="4"/>
    <x v="1"/>
    <n v="6.4655069273288512E-2"/>
    <n v="288"/>
  </r>
  <r>
    <s v="SP236"/>
    <x v="0"/>
    <d v="2024-12-20T00:00:00"/>
    <x v="0"/>
    <s v="Discover fresh beats on Spotify!"/>
    <n v="2519"/>
    <n v="202"/>
    <n v="239"/>
    <n v="36245"/>
    <n v="48606"/>
    <n v="145"/>
    <x v="2"/>
    <x v="1"/>
    <n v="8.1666436749896543E-2"/>
    <n v="352"/>
  </r>
  <r>
    <s v="SP237"/>
    <x v="2"/>
    <d v="2024-01-14T00:00:00"/>
    <x v="0"/>
    <s v="Whatâ€™s your vibe today? #SpotifyHits"/>
    <n v="4502"/>
    <n v="238"/>
    <n v="386"/>
    <n v="39198"/>
    <n v="25050"/>
    <n v="297"/>
    <x v="2"/>
    <x v="1"/>
    <n v="0.13077197816215114"/>
    <n v="7"/>
  </r>
  <r>
    <s v="SP237"/>
    <x v="2"/>
    <d v="2024-01-14T00:00:00"/>
    <x v="0"/>
    <s v="Whatâ€™s your vibe today? #SpotifyHits"/>
    <n v="4502"/>
    <n v="238"/>
    <n v="386"/>
    <n v="39198"/>
    <n v="25050"/>
    <n v="297"/>
    <x v="4"/>
    <x v="1"/>
    <n v="0.13077197816215114"/>
    <n v="7"/>
  </r>
  <r>
    <s v="SP238"/>
    <x v="0"/>
    <d v="2025-06-15T00:00:00"/>
    <x v="0"/>
    <s v="Explore the latest podcasts now."/>
    <n v="2478"/>
    <n v="427"/>
    <n v="242"/>
    <n v="59272"/>
    <n v="37833"/>
    <n v="214"/>
    <x v="0"/>
    <x v="0"/>
    <n v="5.3094209744904843E-2"/>
    <n v="191"/>
  </r>
  <r>
    <s v="SP238"/>
    <x v="0"/>
    <d v="2025-06-15T00:00:00"/>
    <x v="0"/>
    <s v="Explore the latest podcasts now."/>
    <n v="2478"/>
    <n v="427"/>
    <n v="242"/>
    <n v="59272"/>
    <n v="37833"/>
    <n v="214"/>
    <x v="1"/>
    <x v="0"/>
    <n v="5.3094209744904843E-2"/>
    <n v="191"/>
  </r>
  <r>
    <s v="SP239"/>
    <x v="1"/>
    <d v="2024-12-13T00:00:00"/>
    <x v="1"/>
    <s v="New music just dropped. Hit play!"/>
    <n v="4984"/>
    <n v="300"/>
    <n v="338"/>
    <n v="32900"/>
    <n v="31691"/>
    <n v="160"/>
    <x v="3"/>
    <x v="0"/>
    <n v="0.17088145896656534"/>
    <n v="314"/>
  </r>
  <r>
    <s v="SP239"/>
    <x v="1"/>
    <d v="2024-12-13T00:00:00"/>
    <x v="1"/>
    <s v="New music just dropped. Hit play!"/>
    <n v="4984"/>
    <n v="300"/>
    <n v="338"/>
    <n v="32900"/>
    <n v="31691"/>
    <n v="160"/>
    <x v="1"/>
    <x v="0"/>
    <n v="0.17088145896656534"/>
    <n v="314"/>
  </r>
  <r>
    <s v="SP240"/>
    <x v="2"/>
    <d v="2024-08-29T00:00:00"/>
    <x v="0"/>
    <s v="Wrapped is here! Relive your top tracks ðŸŽ§"/>
    <n v="4774"/>
    <n v="389"/>
    <n v="358"/>
    <n v="52346"/>
    <n v="30518"/>
    <n v="277"/>
    <x v="2"/>
    <x v="1"/>
    <n v="0.10547128720437092"/>
    <n v="48"/>
  </r>
  <r>
    <s v="SP240"/>
    <x v="2"/>
    <d v="2024-08-29T00:00:00"/>
    <x v="0"/>
    <s v="Wrapped is here! Relive your top tracks ðŸŽ§"/>
    <n v="4774"/>
    <n v="389"/>
    <n v="358"/>
    <n v="52346"/>
    <n v="30518"/>
    <n v="277"/>
    <x v="4"/>
    <x v="1"/>
    <n v="0.10547128720437092"/>
    <n v="48"/>
  </r>
  <r>
    <s v="SP241"/>
    <x v="1"/>
    <d v="2024-09-15T00:00:00"/>
    <x v="0"/>
    <s v="Get into the groove with our new drop!"/>
    <n v="2145"/>
    <n v="340"/>
    <n v="85"/>
    <n v="53323"/>
    <n v="49938"/>
    <n v="104"/>
    <x v="1"/>
    <x v="0"/>
    <n v="4.819683813738912E-2"/>
    <n v="429"/>
  </r>
  <r>
    <s v="SP242"/>
    <x v="1"/>
    <d v="2025-04-12T00:00:00"/>
    <x v="1"/>
    <s v="From pop to podcasts, itâ€™s all here."/>
    <n v="4315"/>
    <n v="208"/>
    <n v="273"/>
    <n v="35780"/>
    <n v="44349"/>
    <n v="133"/>
    <x v="2"/>
    <x v="0"/>
    <n v="0.13404136389044158"/>
    <n v="365"/>
  </r>
  <r>
    <s v="SP242"/>
    <x v="1"/>
    <d v="2025-04-12T00:00:00"/>
    <x v="1"/>
    <s v="From pop to podcasts, itâ€™s all here."/>
    <n v="4315"/>
    <n v="208"/>
    <n v="273"/>
    <n v="35780"/>
    <n v="44349"/>
    <n v="133"/>
    <x v="3"/>
    <x v="0"/>
    <n v="0.13404136389044158"/>
    <n v="365"/>
  </r>
  <r>
    <s v="SP243"/>
    <x v="1"/>
    <d v="2024-12-10T00:00:00"/>
    <x v="1"/>
    <s v="Wrapped is here! Relive your top tracks ðŸŽ§"/>
    <n v="2267"/>
    <n v="230"/>
    <n v="243"/>
    <n v="27904"/>
    <n v="69771"/>
    <n v="255"/>
    <x v="2"/>
    <x v="0"/>
    <n v="9.8193807339449546E-2"/>
    <n v="114"/>
  </r>
  <r>
    <s v="SP243"/>
    <x v="1"/>
    <d v="2024-12-10T00:00:00"/>
    <x v="1"/>
    <s v="Wrapped is here! Relive your top tracks ðŸŽ§"/>
    <n v="2267"/>
    <n v="230"/>
    <n v="243"/>
    <n v="27904"/>
    <n v="69771"/>
    <n v="255"/>
    <x v="3"/>
    <x v="0"/>
    <n v="9.8193807339449546E-2"/>
    <n v="114"/>
  </r>
  <r>
    <s v="SP244"/>
    <x v="2"/>
    <d v="2025-06-08T00:00:00"/>
    <x v="0"/>
    <s v="Music that moves youâ€”only on Spotify."/>
    <n v="4375"/>
    <n v="303"/>
    <n v="294"/>
    <n v="57468"/>
    <n v="53397"/>
    <n v="159"/>
    <x v="2"/>
    <x v="1"/>
    <n v="8.6517714206166912E-2"/>
    <n v="323"/>
  </r>
  <r>
    <s v="SP244"/>
    <x v="2"/>
    <d v="2025-06-08T00:00:00"/>
    <x v="0"/>
    <s v="Music that moves youâ€”only on Spotify."/>
    <n v="4375"/>
    <n v="303"/>
    <n v="294"/>
    <n v="57468"/>
    <n v="53397"/>
    <n v="159"/>
    <x v="4"/>
    <x v="1"/>
    <n v="8.6517714206166912E-2"/>
    <n v="323"/>
  </r>
  <r>
    <s v="SP245"/>
    <x v="1"/>
    <d v="2025-01-09T00:00:00"/>
    <x v="1"/>
    <s v="Your weekend playlist is waiting."/>
    <n v="3817"/>
    <n v="284"/>
    <n v="204"/>
    <n v="46434"/>
    <n v="53396"/>
    <n v="104"/>
    <x v="3"/>
    <x v="0"/>
    <n v="9.2712236723090841E-2"/>
    <n v="429"/>
  </r>
  <r>
    <s v="SP245"/>
    <x v="1"/>
    <d v="2025-01-09T00:00:00"/>
    <x v="1"/>
    <s v="Your weekend playlist is waiting."/>
    <n v="3817"/>
    <n v="284"/>
    <n v="204"/>
    <n v="46434"/>
    <n v="53396"/>
    <n v="104"/>
    <x v="1"/>
    <x v="0"/>
    <n v="9.2712236723090841E-2"/>
    <n v="429"/>
  </r>
  <r>
    <s v="SP246"/>
    <x v="1"/>
    <d v="2024-07-08T00:00:00"/>
    <x v="1"/>
    <s v="Top trending tracks updated daily!"/>
    <n v="2981"/>
    <n v="258"/>
    <n v="168"/>
    <n v="20677"/>
    <n v="68290"/>
    <n v="130"/>
    <x v="0"/>
    <x v="0"/>
    <n v="0.16477245248343569"/>
    <n v="376"/>
  </r>
  <r>
    <s v="SP246"/>
    <x v="1"/>
    <d v="2024-07-08T00:00:00"/>
    <x v="1"/>
    <s v="Top trending tracks updated daily!"/>
    <n v="2981"/>
    <n v="258"/>
    <n v="168"/>
    <n v="20677"/>
    <n v="68290"/>
    <n v="130"/>
    <x v="1"/>
    <x v="0"/>
    <n v="0.16477245248343569"/>
    <n v="376"/>
  </r>
  <r>
    <s v="SP247"/>
    <x v="1"/>
    <d v="2024-09-16T00:00:00"/>
    <x v="1"/>
    <s v="Your weekend playlist is waiting."/>
    <n v="3300"/>
    <n v="354"/>
    <n v="397"/>
    <n v="56773"/>
    <n v="72110"/>
    <n v="163"/>
    <x v="2"/>
    <x v="0"/>
    <n v="7.1354340971940891E-2"/>
    <n v="307"/>
  </r>
  <r>
    <s v="SP247"/>
    <x v="1"/>
    <d v="2024-09-16T00:00:00"/>
    <x v="1"/>
    <s v="Your weekend playlist is waiting."/>
    <n v="3300"/>
    <n v="354"/>
    <n v="397"/>
    <n v="56773"/>
    <n v="72110"/>
    <n v="163"/>
    <x v="3"/>
    <x v="0"/>
    <n v="7.1354340971940891E-2"/>
    <n v="307"/>
  </r>
  <r>
    <s v="SP248"/>
    <x v="2"/>
    <d v="2024-06-14T00:00:00"/>
    <x v="2"/>
    <s v="Wrapped is here! Relive your top tracks ðŸŽ§"/>
    <n v="4722"/>
    <n v="310"/>
    <n v="344"/>
    <n v="27911"/>
    <n v="19000"/>
    <n v="225"/>
    <x v="2"/>
    <x v="3"/>
    <n v="0.19261223173659131"/>
    <n v="167"/>
  </r>
  <r>
    <s v="SP248"/>
    <x v="2"/>
    <d v="2024-06-14T00:00:00"/>
    <x v="2"/>
    <s v="Wrapped is here! Relive your top tracks ðŸŽ§"/>
    <n v="4722"/>
    <n v="310"/>
    <n v="344"/>
    <n v="27911"/>
    <n v="19000"/>
    <n v="225"/>
    <x v="0"/>
    <x v="3"/>
    <n v="0.19261223173659131"/>
    <n v="167"/>
  </r>
  <r>
    <s v="SP249"/>
    <x v="0"/>
    <d v="2024-03-06T00:00:00"/>
    <x v="0"/>
    <s v="Whatâ€™s your vibe today? #SpotifyHits"/>
    <n v="3529"/>
    <n v="263"/>
    <n v="107"/>
    <n v="26570"/>
    <n v="19367"/>
    <n v="96"/>
    <x v="2"/>
    <x v="1"/>
    <n v="0.14674444862627023"/>
    <n v="446"/>
  </r>
  <r>
    <s v="SP250"/>
    <x v="1"/>
    <d v="2025-05-15T00:00:00"/>
    <x v="0"/>
    <s v="Your weekend playlist is waiting."/>
    <n v="4782"/>
    <n v="210"/>
    <n v="311"/>
    <n v="29793"/>
    <n v="37543"/>
    <n v="145"/>
    <x v="1"/>
    <x v="0"/>
    <n v="0.17799483100057059"/>
    <n v="352"/>
  </r>
  <r>
    <s v="SP251"/>
    <x v="1"/>
    <d v="2024-07-07T00:00:00"/>
    <x v="0"/>
    <s v="Whatâ€™s your vibe today? #SpotifyHits"/>
    <n v="1848"/>
    <n v="417"/>
    <n v="294"/>
    <n v="57819"/>
    <n v="19798"/>
    <n v="262"/>
    <x v="0"/>
    <x v="1"/>
    <n v="4.4258807658382193E-2"/>
    <n v="102"/>
  </r>
  <r>
    <s v="SP252"/>
    <x v="2"/>
    <d v="2024-10-26T00:00:00"/>
    <x v="0"/>
    <s v="New music just dropped. Hit play!"/>
    <n v="4676"/>
    <n v="211"/>
    <n v="55"/>
    <n v="45917"/>
    <n v="73503"/>
    <n v="248"/>
    <x v="2"/>
    <x v="1"/>
    <n v="0.10762898272970794"/>
    <n v="119"/>
  </r>
  <r>
    <s v="SP252"/>
    <x v="2"/>
    <d v="2024-10-26T00:00:00"/>
    <x v="0"/>
    <s v="New music just dropped. Hit play!"/>
    <n v="4676"/>
    <n v="211"/>
    <n v="55"/>
    <n v="45917"/>
    <n v="73503"/>
    <n v="248"/>
    <x v="4"/>
    <x v="1"/>
    <n v="0.10762898272970794"/>
    <n v="119"/>
  </r>
  <r>
    <s v="SP253"/>
    <x v="2"/>
    <d v="2024-08-08T00:00:00"/>
    <x v="0"/>
    <s v="From pop to podcasts, itâ€™s all here."/>
    <n v="1994"/>
    <n v="197"/>
    <n v="290"/>
    <n v="49500"/>
    <n v="23343"/>
    <n v="160"/>
    <x v="2"/>
    <x v="1"/>
    <n v="5.0121212121212122E-2"/>
    <n v="314"/>
  </r>
  <r>
    <s v="SP253"/>
    <x v="2"/>
    <d v="2024-08-08T00:00:00"/>
    <x v="0"/>
    <s v="From pop to podcasts, itâ€™s all here."/>
    <n v="1994"/>
    <n v="197"/>
    <n v="290"/>
    <n v="49500"/>
    <n v="23343"/>
    <n v="160"/>
    <x v="4"/>
    <x v="1"/>
    <n v="5.0121212121212122E-2"/>
    <n v="314"/>
  </r>
  <r>
    <s v="SP254"/>
    <x v="1"/>
    <d v="2025-02-03T00:00:00"/>
    <x v="0"/>
    <s v="Whatâ€™s your vibe today? #SpotifyHits"/>
    <n v="4995"/>
    <n v="231"/>
    <n v="94"/>
    <n v="34431"/>
    <n v="32560"/>
    <n v="262"/>
    <x v="1"/>
    <x v="0"/>
    <n v="0.15451192239551567"/>
    <n v="102"/>
  </r>
  <r>
    <s v="SP255"/>
    <x v="1"/>
    <d v="2024-04-03T00:00:00"/>
    <x v="1"/>
    <s v="Top trending tracks updated daily!"/>
    <n v="2291"/>
    <n v="146"/>
    <n v="399"/>
    <n v="49319"/>
    <n v="28056"/>
    <n v="90"/>
    <x v="2"/>
    <x v="0"/>
    <n v="5.7503193495407452E-2"/>
    <n v="454"/>
  </r>
  <r>
    <s v="SP255"/>
    <x v="1"/>
    <d v="2024-04-03T00:00:00"/>
    <x v="1"/>
    <s v="Top trending tracks updated daily!"/>
    <n v="2291"/>
    <n v="146"/>
    <n v="399"/>
    <n v="49319"/>
    <n v="28056"/>
    <n v="90"/>
    <x v="3"/>
    <x v="0"/>
    <n v="5.7503193495407452E-2"/>
    <n v="454"/>
  </r>
  <r>
    <s v="SP256"/>
    <x v="1"/>
    <d v="2024-07-08T00:00:00"/>
    <x v="1"/>
    <s v="Wrapped is here! Relive your top tracks ðŸŽ§"/>
    <n v="2304"/>
    <n v="289"/>
    <n v="161"/>
    <n v="52645"/>
    <n v="66262"/>
    <n v="146"/>
    <x v="3"/>
    <x v="0"/>
    <n v="5.2312660271630736E-2"/>
    <n v="350"/>
  </r>
  <r>
    <s v="SP256"/>
    <x v="1"/>
    <d v="2024-07-08T00:00:00"/>
    <x v="1"/>
    <s v="Wrapped is here! Relive your top tracks ðŸŽ§"/>
    <n v="2304"/>
    <n v="289"/>
    <n v="161"/>
    <n v="52645"/>
    <n v="66262"/>
    <n v="146"/>
    <x v="1"/>
    <x v="0"/>
    <n v="5.2312660271630736E-2"/>
    <n v="350"/>
  </r>
  <r>
    <s v="SP257"/>
    <x v="1"/>
    <d v="2024-06-08T00:00:00"/>
    <x v="1"/>
    <s v="Top trending tracks updated daily!"/>
    <n v="3413"/>
    <n v="326"/>
    <n v="86"/>
    <n v="44680"/>
    <n v="52719"/>
    <n v="272"/>
    <x v="2"/>
    <x v="0"/>
    <n v="8.5608773500447627E-2"/>
    <n v="65"/>
  </r>
  <r>
    <s v="SP257"/>
    <x v="1"/>
    <d v="2024-06-08T00:00:00"/>
    <x v="1"/>
    <s v="Top trending tracks updated daily!"/>
    <n v="3413"/>
    <n v="326"/>
    <n v="86"/>
    <n v="44680"/>
    <n v="52719"/>
    <n v="272"/>
    <x v="3"/>
    <x v="0"/>
    <n v="8.5608773500447627E-2"/>
    <n v="65"/>
  </r>
  <r>
    <s v="SP258"/>
    <x v="2"/>
    <d v="2025-03-20T00:00:00"/>
    <x v="2"/>
    <s v="From pop to podcasts, itâ€™s all here."/>
    <n v="1453"/>
    <n v="156"/>
    <n v="178"/>
    <n v="52980"/>
    <n v="57180"/>
    <n v="286"/>
    <x v="2"/>
    <x v="3"/>
    <n v="3.3729709324273313E-2"/>
    <n v="33"/>
  </r>
  <r>
    <s v="SP258"/>
    <x v="2"/>
    <d v="2025-03-20T00:00:00"/>
    <x v="2"/>
    <s v="From pop to podcasts, itâ€™s all here."/>
    <n v="1453"/>
    <n v="156"/>
    <n v="178"/>
    <n v="52980"/>
    <n v="57180"/>
    <n v="286"/>
    <x v="0"/>
    <x v="3"/>
    <n v="3.3729709324273313E-2"/>
    <n v="33"/>
  </r>
  <r>
    <s v="SP259"/>
    <x v="1"/>
    <d v="2025-01-19T00:00:00"/>
    <x v="1"/>
    <s v="Music that moves youâ€”only on Spotify."/>
    <n v="1651"/>
    <n v="480"/>
    <n v="282"/>
    <n v="32140"/>
    <n v="70560"/>
    <n v="138"/>
    <x v="0"/>
    <x v="0"/>
    <n v="7.5077784691972627E-2"/>
    <n v="359"/>
  </r>
  <r>
    <s v="SP259"/>
    <x v="1"/>
    <d v="2025-01-19T00:00:00"/>
    <x v="1"/>
    <s v="Music that moves youâ€”only on Spotify."/>
    <n v="1651"/>
    <n v="480"/>
    <n v="282"/>
    <n v="32140"/>
    <n v="70560"/>
    <n v="138"/>
    <x v="1"/>
    <x v="0"/>
    <n v="7.5077784691972627E-2"/>
    <n v="359"/>
  </r>
  <r>
    <s v="SP260"/>
    <x v="1"/>
    <d v="2025-01-05T00:00:00"/>
    <x v="1"/>
    <s v="Explore the latest podcasts now."/>
    <n v="3341"/>
    <n v="154"/>
    <n v="123"/>
    <n v="43369"/>
    <n v="49035"/>
    <n v="128"/>
    <x v="3"/>
    <x v="0"/>
    <n v="8.3423643616408028E-2"/>
    <n v="378"/>
  </r>
  <r>
    <s v="SP260"/>
    <x v="1"/>
    <d v="2025-01-05T00:00:00"/>
    <x v="1"/>
    <s v="Explore the latest podcasts now."/>
    <n v="3341"/>
    <n v="154"/>
    <n v="123"/>
    <n v="43369"/>
    <n v="49035"/>
    <n v="128"/>
    <x v="1"/>
    <x v="0"/>
    <n v="8.3423643616408028E-2"/>
    <n v="378"/>
  </r>
  <r>
    <s v="SP261"/>
    <x v="1"/>
    <d v="2024-11-16T00:00:00"/>
    <x v="0"/>
    <s v="From pop to podcasts, itâ€™s all here."/>
    <n v="2972"/>
    <n v="263"/>
    <n v="308"/>
    <n v="51740"/>
    <n v="28214"/>
    <n v="190"/>
    <x v="0"/>
    <x v="1"/>
    <n v="6.8477000386548123E-2"/>
    <n v="249"/>
  </r>
  <r>
    <s v="SP262"/>
    <x v="1"/>
    <d v="2024-11-30T00:00:00"/>
    <x v="1"/>
    <s v="Explore the latest podcasts now."/>
    <n v="4963"/>
    <n v="255"/>
    <n v="193"/>
    <n v="44386"/>
    <n v="28415"/>
    <n v="174"/>
    <x v="3"/>
    <x v="0"/>
    <n v="0.12190780876853062"/>
    <n v="279"/>
  </r>
  <r>
    <s v="SP262"/>
    <x v="1"/>
    <d v="2024-11-30T00:00:00"/>
    <x v="1"/>
    <s v="Explore the latest podcasts now."/>
    <n v="4963"/>
    <n v="255"/>
    <n v="193"/>
    <n v="44386"/>
    <n v="28415"/>
    <n v="174"/>
    <x v="1"/>
    <x v="0"/>
    <n v="0.12190780876853062"/>
    <n v="279"/>
  </r>
  <r>
    <s v="SP263"/>
    <x v="2"/>
    <d v="2024-03-27T00:00:00"/>
    <x v="0"/>
    <s v="Music that moves youâ€”only on Spotify."/>
    <n v="2399"/>
    <n v="191"/>
    <n v="221"/>
    <n v="51603"/>
    <n v="40033"/>
    <n v="173"/>
    <x v="2"/>
    <x v="1"/>
    <n v="5.4473577117609438E-2"/>
    <n v="283"/>
  </r>
  <r>
    <s v="SP263"/>
    <x v="2"/>
    <d v="2024-03-27T00:00:00"/>
    <x v="0"/>
    <s v="Music that moves youâ€”only on Spotify."/>
    <n v="2399"/>
    <n v="191"/>
    <n v="221"/>
    <n v="51603"/>
    <n v="40033"/>
    <n v="173"/>
    <x v="4"/>
    <x v="1"/>
    <n v="5.4473577117609438E-2"/>
    <n v="283"/>
  </r>
  <r>
    <s v="SP264"/>
    <x v="2"/>
    <d v="2025-05-31T00:00:00"/>
    <x v="2"/>
    <s v="Get into the groove with our new drop!"/>
    <n v="2162"/>
    <n v="318"/>
    <n v="83"/>
    <n v="46719"/>
    <n v="20482"/>
    <n v="185"/>
    <x v="2"/>
    <x v="3"/>
    <n v="5.4859907104176028E-2"/>
    <n v="253"/>
  </r>
  <r>
    <s v="SP264"/>
    <x v="2"/>
    <d v="2025-05-31T00:00:00"/>
    <x v="2"/>
    <s v="Get into the groove with our new drop!"/>
    <n v="2162"/>
    <n v="318"/>
    <n v="83"/>
    <n v="46719"/>
    <n v="20482"/>
    <n v="185"/>
    <x v="0"/>
    <x v="3"/>
    <n v="5.4859907104176028E-2"/>
    <n v="253"/>
  </r>
  <r>
    <s v="SP265"/>
    <x v="1"/>
    <d v="2025-06-17T00:00:00"/>
    <x v="1"/>
    <s v="Explore the latest podcasts now."/>
    <n v="4341"/>
    <n v="141"/>
    <n v="63"/>
    <n v="50081"/>
    <n v="27507"/>
    <n v="221"/>
    <x v="2"/>
    <x v="0"/>
    <n v="9.0752980172121162E-2"/>
    <n v="175"/>
  </r>
  <r>
    <s v="SP265"/>
    <x v="1"/>
    <d v="2025-06-17T00:00:00"/>
    <x v="1"/>
    <s v="Explore the latest podcasts now."/>
    <n v="4341"/>
    <n v="141"/>
    <n v="63"/>
    <n v="50081"/>
    <n v="27507"/>
    <n v="221"/>
    <x v="3"/>
    <x v="0"/>
    <n v="9.0752980172121162E-2"/>
    <n v="175"/>
  </r>
  <r>
    <s v="SP266"/>
    <x v="0"/>
    <d v="2024-05-30T00:00:00"/>
    <x v="1"/>
    <s v="Get into the groove with our new drop!"/>
    <n v="2448"/>
    <n v="464"/>
    <n v="98"/>
    <n v="25737"/>
    <n v="48545"/>
    <n v="246"/>
    <x v="1"/>
    <x v="2"/>
    <n v="0.11695224773672146"/>
    <n v="121"/>
  </r>
  <r>
    <s v="SP267"/>
    <x v="2"/>
    <d v="2024-11-08T00:00:00"/>
    <x v="0"/>
    <s v="Top trending tracks updated daily!"/>
    <n v="2471"/>
    <n v="166"/>
    <n v="320"/>
    <n v="48254"/>
    <n v="46900"/>
    <n v="111"/>
    <x v="2"/>
    <x v="1"/>
    <n v="6.1279893894806647E-2"/>
    <n v="416"/>
  </r>
  <r>
    <s v="SP267"/>
    <x v="2"/>
    <d v="2024-11-08T00:00:00"/>
    <x v="0"/>
    <s v="Top trending tracks updated daily!"/>
    <n v="2471"/>
    <n v="166"/>
    <n v="320"/>
    <n v="48254"/>
    <n v="46900"/>
    <n v="111"/>
    <x v="4"/>
    <x v="1"/>
    <n v="6.1279893894806647E-2"/>
    <n v="416"/>
  </r>
  <r>
    <s v="SP268"/>
    <x v="2"/>
    <d v="2024-03-17T00:00:00"/>
    <x v="2"/>
    <s v="Explore the latest podcasts now."/>
    <n v="2692"/>
    <n v="446"/>
    <n v="216"/>
    <n v="45818"/>
    <n v="62723"/>
    <n v="85"/>
    <x v="2"/>
    <x v="3"/>
    <n v="7.3202671439172376E-2"/>
    <n v="469"/>
  </r>
  <r>
    <s v="SP268"/>
    <x v="2"/>
    <d v="2024-03-17T00:00:00"/>
    <x v="2"/>
    <s v="Explore the latest podcasts now."/>
    <n v="2692"/>
    <n v="446"/>
    <n v="216"/>
    <n v="45818"/>
    <n v="62723"/>
    <n v="85"/>
    <x v="0"/>
    <x v="3"/>
    <n v="7.3202671439172376E-2"/>
    <n v="469"/>
  </r>
  <r>
    <s v="SP269"/>
    <x v="2"/>
    <d v="2024-06-21T00:00:00"/>
    <x v="2"/>
    <s v="Music that moves youâ€”only on Spotify."/>
    <n v="4621"/>
    <n v="374"/>
    <n v="298"/>
    <n v="56979"/>
    <n v="24098"/>
    <n v="205"/>
    <x v="2"/>
    <x v="3"/>
    <n v="9.2893873181347508E-2"/>
    <n v="214"/>
  </r>
  <r>
    <s v="SP269"/>
    <x v="2"/>
    <d v="2024-06-21T00:00:00"/>
    <x v="2"/>
    <s v="Music that moves youâ€”only on Spotify."/>
    <n v="4621"/>
    <n v="374"/>
    <n v="298"/>
    <n v="56979"/>
    <n v="24098"/>
    <n v="205"/>
    <x v="0"/>
    <x v="3"/>
    <n v="9.2893873181347508E-2"/>
    <n v="214"/>
  </r>
  <r>
    <s v="SP270"/>
    <x v="1"/>
    <d v="2024-11-13T00:00:00"/>
    <x v="1"/>
    <s v="New music just dropped. Hit play!"/>
    <n v="1409"/>
    <n v="466"/>
    <n v="105"/>
    <n v="58923"/>
    <n v="38753"/>
    <n v="265"/>
    <x v="2"/>
    <x v="0"/>
    <n v="3.3603177027646251E-2"/>
    <n v="88"/>
  </r>
  <r>
    <s v="SP270"/>
    <x v="1"/>
    <d v="2024-11-13T00:00:00"/>
    <x v="1"/>
    <s v="New music just dropped. Hit play!"/>
    <n v="1409"/>
    <n v="466"/>
    <n v="105"/>
    <n v="58923"/>
    <n v="38753"/>
    <n v="265"/>
    <x v="3"/>
    <x v="0"/>
    <n v="3.3603177027646251E-2"/>
    <n v="88"/>
  </r>
  <r>
    <s v="SP271"/>
    <x v="1"/>
    <d v="2025-02-05T00:00:00"/>
    <x v="1"/>
    <s v="Discover fresh beats on Spotify!"/>
    <n v="3029"/>
    <n v="440"/>
    <n v="66"/>
    <n v="23815"/>
    <n v="47895"/>
    <n v="210"/>
    <x v="2"/>
    <x v="0"/>
    <n v="0.14843585975225698"/>
    <n v="206"/>
  </r>
  <r>
    <s v="SP271"/>
    <x v="1"/>
    <d v="2025-02-05T00:00:00"/>
    <x v="1"/>
    <s v="Discover fresh beats on Spotify!"/>
    <n v="3029"/>
    <n v="440"/>
    <n v="66"/>
    <n v="23815"/>
    <n v="47895"/>
    <n v="210"/>
    <x v="3"/>
    <x v="0"/>
    <n v="0.14843585975225698"/>
    <n v="206"/>
  </r>
  <r>
    <s v="SP272"/>
    <x v="1"/>
    <d v="2024-11-07T00:00:00"/>
    <x v="0"/>
    <s v="Explore the latest podcasts now."/>
    <n v="2229"/>
    <n v="395"/>
    <n v="328"/>
    <n v="56921"/>
    <n v="37176"/>
    <n v="126"/>
    <x v="0"/>
    <x v="1"/>
    <n v="5.1861351697967357E-2"/>
    <n v="384"/>
  </r>
  <r>
    <s v="SP273"/>
    <x v="1"/>
    <d v="2024-02-12T00:00:00"/>
    <x v="0"/>
    <s v="Explore the latest podcasts now."/>
    <n v="2691"/>
    <n v="486"/>
    <n v="206"/>
    <n v="51133"/>
    <n v="44583"/>
    <n v="276"/>
    <x v="1"/>
    <x v="0"/>
    <n v="6.6160796354604659E-2"/>
    <n v="54"/>
  </r>
  <r>
    <s v="SP274"/>
    <x v="0"/>
    <d v="2024-10-08T00:00:00"/>
    <x v="0"/>
    <s v="Explore the latest podcasts now."/>
    <n v="2110"/>
    <n v="384"/>
    <n v="236"/>
    <n v="49965"/>
    <n v="61555"/>
    <n v="195"/>
    <x v="2"/>
    <x v="1"/>
    <n v="5.4638246772740921E-2"/>
    <n v="239"/>
  </r>
  <r>
    <s v="SP275"/>
    <x v="0"/>
    <d v="2024-02-19T00:00:00"/>
    <x v="0"/>
    <s v="Wrapped is here! Relive your top tracks ðŸŽ§"/>
    <n v="4752"/>
    <n v="449"/>
    <n v="309"/>
    <n v="58530"/>
    <n v="26630"/>
    <n v="234"/>
    <x v="2"/>
    <x v="1"/>
    <n v="9.4139757389372969E-2"/>
    <n v="147"/>
  </r>
  <r>
    <s v="SP276"/>
    <x v="1"/>
    <d v="2025-03-04T00:00:00"/>
    <x v="0"/>
    <s v="Discover fresh beats on Spotify!"/>
    <n v="2177"/>
    <n v="258"/>
    <n v="292"/>
    <n v="47276"/>
    <n v="51324"/>
    <n v="143"/>
    <x v="1"/>
    <x v="0"/>
    <n v="5.7682545054573146E-2"/>
    <n v="355"/>
  </r>
  <r>
    <s v="SP277"/>
    <x v="0"/>
    <d v="2025-02-03T00:00:00"/>
    <x v="1"/>
    <s v="New music just dropped. Hit play!"/>
    <n v="1205"/>
    <n v="486"/>
    <n v="269"/>
    <n v="23341"/>
    <n v="42411"/>
    <n v="184"/>
    <x v="1"/>
    <x v="2"/>
    <n v="8.3972409065592737E-2"/>
    <n v="255"/>
  </r>
  <r>
    <s v="SP278"/>
    <x v="0"/>
    <d v="2024-12-02T00:00:00"/>
    <x v="0"/>
    <s v="Top trending tracks updated daily!"/>
    <n v="3194"/>
    <n v="292"/>
    <n v="245"/>
    <n v="56371"/>
    <n v="65597"/>
    <n v="163"/>
    <x v="0"/>
    <x v="0"/>
    <n v="6.6186514342481059E-2"/>
    <n v="307"/>
  </r>
  <r>
    <s v="SP278"/>
    <x v="0"/>
    <d v="2024-12-02T00:00:00"/>
    <x v="0"/>
    <s v="Top trending tracks updated daily!"/>
    <n v="3194"/>
    <n v="292"/>
    <n v="245"/>
    <n v="56371"/>
    <n v="65597"/>
    <n v="163"/>
    <x v="1"/>
    <x v="0"/>
    <n v="6.6186514342481059E-2"/>
    <n v="307"/>
  </r>
  <r>
    <s v="SP279"/>
    <x v="1"/>
    <d v="2025-01-19T00:00:00"/>
    <x v="1"/>
    <s v="New music just dropped. Hit play!"/>
    <n v="3507"/>
    <n v="295"/>
    <n v="371"/>
    <n v="20410"/>
    <n v="53965"/>
    <n v="212"/>
    <x v="0"/>
    <x v="0"/>
    <n v="0.20445859872611466"/>
    <n v="200"/>
  </r>
  <r>
    <s v="SP279"/>
    <x v="1"/>
    <d v="2025-01-19T00:00:00"/>
    <x v="1"/>
    <s v="New music just dropped. Hit play!"/>
    <n v="3507"/>
    <n v="295"/>
    <n v="371"/>
    <n v="20410"/>
    <n v="53965"/>
    <n v="212"/>
    <x v="1"/>
    <x v="0"/>
    <n v="0.20445859872611466"/>
    <n v="200"/>
  </r>
  <r>
    <s v="SP280"/>
    <x v="1"/>
    <d v="2024-09-28T00:00:00"/>
    <x v="1"/>
    <s v="Wrapped is here! Relive your top tracks ðŸŽ§"/>
    <n v="4471"/>
    <n v="317"/>
    <n v="249"/>
    <n v="44862"/>
    <n v="33365"/>
    <n v="184"/>
    <x v="2"/>
    <x v="0"/>
    <n v="0.1122776514644911"/>
    <n v="255"/>
  </r>
  <r>
    <s v="SP280"/>
    <x v="1"/>
    <d v="2024-09-28T00:00:00"/>
    <x v="1"/>
    <s v="Wrapped is here! Relive your top tracks ðŸŽ§"/>
    <n v="4471"/>
    <n v="317"/>
    <n v="249"/>
    <n v="44862"/>
    <n v="33365"/>
    <n v="184"/>
    <x v="3"/>
    <x v="0"/>
    <n v="0.1122776514644911"/>
    <n v="255"/>
  </r>
  <r>
    <s v="SP281"/>
    <x v="0"/>
    <d v="2024-01-07T00:00:00"/>
    <x v="0"/>
    <s v="Top trending tracks updated daily!"/>
    <n v="4931"/>
    <n v="469"/>
    <n v="193"/>
    <n v="56701"/>
    <n v="69437"/>
    <n v="291"/>
    <x v="0"/>
    <x v="0"/>
    <n v="9.8640235621946709E-2"/>
    <n v="19"/>
  </r>
  <r>
    <s v="SP281"/>
    <x v="0"/>
    <d v="2024-01-07T00:00:00"/>
    <x v="0"/>
    <s v="Top trending tracks updated daily!"/>
    <n v="4931"/>
    <n v="469"/>
    <n v="193"/>
    <n v="56701"/>
    <n v="69437"/>
    <n v="291"/>
    <x v="1"/>
    <x v="0"/>
    <n v="9.8640235621946709E-2"/>
    <n v="19"/>
  </r>
  <r>
    <s v="SP282"/>
    <x v="1"/>
    <d v="2024-02-21T00:00:00"/>
    <x v="1"/>
    <s v="Get into the groove with our new drop!"/>
    <n v="2604"/>
    <n v="439"/>
    <n v="148"/>
    <n v="58468"/>
    <n v="39629"/>
    <n v="163"/>
    <x v="3"/>
    <x v="0"/>
    <n v="5.4576862557296296E-2"/>
    <n v="307"/>
  </r>
  <r>
    <s v="SP282"/>
    <x v="1"/>
    <d v="2024-02-21T00:00:00"/>
    <x v="1"/>
    <s v="Get into the groove with our new drop!"/>
    <n v="2604"/>
    <n v="439"/>
    <n v="148"/>
    <n v="58468"/>
    <n v="39629"/>
    <n v="163"/>
    <x v="1"/>
    <x v="0"/>
    <n v="5.4576862557296296E-2"/>
    <n v="307"/>
  </r>
  <r>
    <s v="SP283"/>
    <x v="0"/>
    <d v="2024-08-27T00:00:00"/>
    <x v="0"/>
    <s v="Music that moves youâ€”only on Spotify."/>
    <n v="4197"/>
    <n v="359"/>
    <n v="280"/>
    <n v="56048"/>
    <n v="70930"/>
    <n v="295"/>
    <x v="2"/>
    <x v="1"/>
    <n v="8.628318584070796E-2"/>
    <n v="13"/>
  </r>
  <r>
    <s v="SP284"/>
    <x v="0"/>
    <d v="2024-10-24T00:00:00"/>
    <x v="1"/>
    <s v="Top trending tracks updated daily!"/>
    <n v="1914"/>
    <n v="255"/>
    <n v="156"/>
    <n v="27660"/>
    <n v="47776"/>
    <n v="111"/>
    <x v="1"/>
    <x v="2"/>
    <n v="8.4056399132321047E-2"/>
    <n v="416"/>
  </r>
  <r>
    <s v="SP285"/>
    <x v="2"/>
    <d v="2025-01-29T00:00:00"/>
    <x v="0"/>
    <s v="New music just dropped. Hit play!"/>
    <n v="1334"/>
    <n v="357"/>
    <n v="257"/>
    <n v="56910"/>
    <n v="70606"/>
    <n v="228"/>
    <x v="2"/>
    <x v="1"/>
    <n v="3.4229485151994379E-2"/>
    <n v="161"/>
  </r>
  <r>
    <s v="SP285"/>
    <x v="2"/>
    <d v="2025-01-29T00:00:00"/>
    <x v="0"/>
    <s v="New music just dropped. Hit play!"/>
    <n v="1334"/>
    <n v="357"/>
    <n v="257"/>
    <n v="56910"/>
    <n v="70606"/>
    <n v="228"/>
    <x v="4"/>
    <x v="1"/>
    <n v="3.4229485151994379E-2"/>
    <n v="161"/>
  </r>
  <r>
    <s v="SP286"/>
    <x v="0"/>
    <d v="2024-05-01T00:00:00"/>
    <x v="0"/>
    <s v="Get into the groove with our new drop!"/>
    <n v="3359"/>
    <n v="137"/>
    <n v="387"/>
    <n v="33861"/>
    <n v="47257"/>
    <n v="198"/>
    <x v="2"/>
    <x v="1"/>
    <n v="0.11467469950680724"/>
    <n v="231"/>
  </r>
  <r>
    <s v="SP287"/>
    <x v="2"/>
    <d v="2024-06-25T00:00:00"/>
    <x v="0"/>
    <s v="Your weekend playlist is waiting."/>
    <n v="2172"/>
    <n v="338"/>
    <n v="70"/>
    <n v="30515"/>
    <n v="57853"/>
    <n v="156"/>
    <x v="2"/>
    <x v="1"/>
    <n v="8.4548582664263475E-2"/>
    <n v="333"/>
  </r>
  <r>
    <s v="SP287"/>
    <x v="2"/>
    <d v="2024-06-25T00:00:00"/>
    <x v="0"/>
    <s v="Your weekend playlist is waiting."/>
    <n v="2172"/>
    <n v="338"/>
    <n v="70"/>
    <n v="30515"/>
    <n v="57853"/>
    <n v="156"/>
    <x v="4"/>
    <x v="1"/>
    <n v="8.4548582664263475E-2"/>
    <n v="333"/>
  </r>
  <r>
    <s v="SP288"/>
    <x v="1"/>
    <d v="2024-08-09T00:00:00"/>
    <x v="1"/>
    <s v="From pop to podcasts, itâ€™s all here."/>
    <n v="4877"/>
    <n v="442"/>
    <n v="236"/>
    <n v="52673"/>
    <n v="48241"/>
    <n v="114"/>
    <x v="2"/>
    <x v="0"/>
    <n v="0.10546200140489435"/>
    <n v="404"/>
  </r>
  <r>
    <s v="SP288"/>
    <x v="1"/>
    <d v="2024-08-09T00:00:00"/>
    <x v="1"/>
    <s v="From pop to podcasts, itâ€™s all here."/>
    <n v="4877"/>
    <n v="442"/>
    <n v="236"/>
    <n v="52673"/>
    <n v="48241"/>
    <n v="114"/>
    <x v="3"/>
    <x v="0"/>
    <n v="0.10546200140489435"/>
    <n v="404"/>
  </r>
  <r>
    <s v="SP289"/>
    <x v="0"/>
    <d v="2025-01-21T00:00:00"/>
    <x v="1"/>
    <s v="New music just dropped. Hit play!"/>
    <n v="4918"/>
    <n v="440"/>
    <n v="149"/>
    <n v="53269"/>
    <n v="64370"/>
    <n v="269"/>
    <x v="1"/>
    <x v="2"/>
    <n v="0.10338095327488783"/>
    <n v="79"/>
  </r>
  <r>
    <s v="SP290"/>
    <x v="1"/>
    <d v="2024-08-13T00:00:00"/>
    <x v="0"/>
    <s v="Explore the latest podcasts now."/>
    <n v="3418"/>
    <n v="107"/>
    <n v="221"/>
    <n v="23927"/>
    <n v="26182"/>
    <n v="155"/>
    <x v="0"/>
    <x v="1"/>
    <n v="0.1565595352530614"/>
    <n v="335"/>
  </r>
  <r>
    <s v="SP291"/>
    <x v="0"/>
    <d v="2024-06-29T00:00:00"/>
    <x v="0"/>
    <s v="Your weekend playlist is waiting."/>
    <n v="2088"/>
    <n v="490"/>
    <n v="124"/>
    <n v="46544"/>
    <n v="69346"/>
    <n v="178"/>
    <x v="0"/>
    <x v="0"/>
    <n v="5.8052595393606049E-2"/>
    <n v="266"/>
  </r>
  <r>
    <s v="SP291"/>
    <x v="0"/>
    <d v="2024-06-29T00:00:00"/>
    <x v="0"/>
    <s v="Your weekend playlist is waiting."/>
    <n v="2088"/>
    <n v="490"/>
    <n v="124"/>
    <n v="46544"/>
    <n v="69346"/>
    <n v="178"/>
    <x v="1"/>
    <x v="0"/>
    <n v="5.8052595393606049E-2"/>
    <n v="266"/>
  </r>
  <r>
    <s v="SP292"/>
    <x v="1"/>
    <d v="2024-11-03T00:00:00"/>
    <x v="1"/>
    <s v="Explore the latest podcasts now."/>
    <n v="3061"/>
    <n v="320"/>
    <n v="76"/>
    <n v="26640"/>
    <n v="24306"/>
    <n v="112"/>
    <x v="3"/>
    <x v="0"/>
    <n v="0.12976726726726726"/>
    <n v="412"/>
  </r>
  <r>
    <s v="SP292"/>
    <x v="1"/>
    <d v="2024-11-03T00:00:00"/>
    <x v="1"/>
    <s v="Explore the latest podcasts now."/>
    <n v="3061"/>
    <n v="320"/>
    <n v="76"/>
    <n v="26640"/>
    <n v="24306"/>
    <n v="112"/>
    <x v="1"/>
    <x v="0"/>
    <n v="0.12976726726726726"/>
    <n v="412"/>
  </r>
  <r>
    <s v="SP293"/>
    <x v="2"/>
    <d v="2025-04-18T00:00:00"/>
    <x v="2"/>
    <s v="Your weekend playlist is waiting."/>
    <n v="1265"/>
    <n v="230"/>
    <n v="364"/>
    <n v="41312"/>
    <n v="50382"/>
    <n v="106"/>
    <x v="2"/>
    <x v="3"/>
    <n v="4.4999031758326875E-2"/>
    <n v="426"/>
  </r>
  <r>
    <s v="SP293"/>
    <x v="2"/>
    <d v="2025-04-18T00:00:00"/>
    <x v="2"/>
    <s v="Your weekend playlist is waiting."/>
    <n v="1265"/>
    <n v="230"/>
    <n v="364"/>
    <n v="41312"/>
    <n v="50382"/>
    <n v="106"/>
    <x v="0"/>
    <x v="3"/>
    <n v="4.4999031758326875E-2"/>
    <n v="426"/>
  </r>
  <r>
    <s v="SP294"/>
    <x v="0"/>
    <d v="2024-12-27T00:00:00"/>
    <x v="0"/>
    <s v="From pop to podcasts, itâ€™s all here."/>
    <n v="1436"/>
    <n v="219"/>
    <n v="229"/>
    <n v="58488"/>
    <n v="24314"/>
    <n v="147"/>
    <x v="2"/>
    <x v="1"/>
    <n v="3.221173574066475E-2"/>
    <n v="346"/>
  </r>
  <r>
    <s v="SP295"/>
    <x v="0"/>
    <d v="2025-03-08T00:00:00"/>
    <x v="1"/>
    <s v="Top trending tracks updated daily!"/>
    <n v="2244"/>
    <n v="392"/>
    <n v="231"/>
    <n v="25834"/>
    <n v="50906"/>
    <n v="165"/>
    <x v="1"/>
    <x v="2"/>
    <n v="0.1109777812185492"/>
    <n v="302"/>
  </r>
  <r>
    <s v="SP296"/>
    <x v="1"/>
    <d v="2025-03-20T00:00:00"/>
    <x v="1"/>
    <s v="Your weekend playlist is waiting."/>
    <n v="3393"/>
    <n v="104"/>
    <n v="79"/>
    <n v="30025"/>
    <n v="21593"/>
    <n v="165"/>
    <x v="3"/>
    <x v="0"/>
    <n v="0.1191007493755204"/>
    <n v="302"/>
  </r>
  <r>
    <s v="SP296"/>
    <x v="1"/>
    <d v="2025-03-20T00:00:00"/>
    <x v="1"/>
    <s v="Your weekend playlist is waiting."/>
    <n v="3393"/>
    <n v="104"/>
    <n v="79"/>
    <n v="30025"/>
    <n v="21593"/>
    <n v="165"/>
    <x v="1"/>
    <x v="0"/>
    <n v="0.1191007493755204"/>
    <n v="302"/>
  </r>
  <r>
    <s v="SP297"/>
    <x v="1"/>
    <d v="2024-11-16T00:00:00"/>
    <x v="0"/>
    <s v="Explore the latest podcasts now."/>
    <n v="2901"/>
    <n v="108"/>
    <n v="86"/>
    <n v="51777"/>
    <n v="23773"/>
    <n v="160"/>
    <x v="0"/>
    <x v="1"/>
    <n v="5.9775576027966085E-2"/>
    <n v="314"/>
  </r>
  <r>
    <s v="SP298"/>
    <x v="1"/>
    <d v="2025-06-30T00:00:00"/>
    <x v="0"/>
    <s v="Whatâ€™s your vibe today? #SpotifyHits"/>
    <n v="2275"/>
    <n v="285"/>
    <n v="125"/>
    <n v="43970"/>
    <n v="74761"/>
    <n v="83"/>
    <x v="1"/>
    <x v="0"/>
    <n v="6.1064362065044349E-2"/>
    <n v="475"/>
  </r>
  <r>
    <s v="SP299"/>
    <x v="1"/>
    <d v="2024-01-12T00:00:00"/>
    <x v="1"/>
    <s v="Wrapped is here! Relive your top tracks ðŸŽ§"/>
    <n v="2227"/>
    <n v="494"/>
    <n v="161"/>
    <n v="51651"/>
    <n v="68074"/>
    <n v="240"/>
    <x v="2"/>
    <x v="0"/>
    <n v="5.5797564422760453E-2"/>
    <n v="129"/>
  </r>
  <r>
    <s v="SP299"/>
    <x v="1"/>
    <d v="2024-01-12T00:00:00"/>
    <x v="1"/>
    <s v="Wrapped is here! Relive your top tracks ðŸŽ§"/>
    <n v="2227"/>
    <n v="494"/>
    <n v="161"/>
    <n v="51651"/>
    <n v="68074"/>
    <n v="240"/>
    <x v="3"/>
    <x v="0"/>
    <n v="5.5797564422760453E-2"/>
    <n v="129"/>
  </r>
  <r>
    <s v="SP300"/>
    <x v="0"/>
    <d v="2024-02-07T00:00:00"/>
    <x v="0"/>
    <s v="Music that moves youâ€”only on Spotify."/>
    <n v="1883"/>
    <n v="432"/>
    <n v="397"/>
    <n v="28759"/>
    <n v="18691"/>
    <n v="270"/>
    <x v="0"/>
    <x v="0"/>
    <n v="9.4300914496331587E-2"/>
    <n v="73"/>
  </r>
  <r>
    <s v="SP300"/>
    <x v="0"/>
    <d v="2024-02-07T00:00:00"/>
    <x v="0"/>
    <s v="Music that moves youâ€”only on Spotify."/>
    <n v="1883"/>
    <n v="432"/>
    <n v="397"/>
    <n v="28759"/>
    <n v="18691"/>
    <n v="270"/>
    <x v="1"/>
    <x v="0"/>
    <n v="9.4300914496331587E-2"/>
    <n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DCCE1-E13B-4E1E-B719-EA9612144C4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31" firstHeaderRow="1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ngagement Rate" fld="13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FAA2A-C633-46FA-B676-F345FC6F2C6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L18" firstHeaderRow="1" firstDataRow="2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22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Engagement Rate" fld="13" subtotal="average" baseField="1" baseItem="2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FED91-6260-482E-9357-0CB76B480CC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9" firstHeaderRow="0" firstDataRow="1" firstDataCol="1"/>
  <pivotFields count="15"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1"/>
        <item x="0"/>
        <item x="4"/>
        <item t="default"/>
      </items>
    </pivotField>
    <pivotField showAll="0"/>
    <pivotField dataField="1" numFmtId="2"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s Used" fld="11" subtotal="count" baseField="11" baseItem="0"/>
    <dataField name="Average of Engagement Rate" fld="13" subtotal="average" baseField="1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D54A0-A8E7-4D66-A0D2-C733C1A1B32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" firstHeaderRow="0" firstDataRow="1" firstDataCol="1"/>
  <pivotFields count="15">
    <pivotField showAll="0"/>
    <pivotField axis="axisRow" showAll="0" sortType="ascending">
      <items count="4">
        <item x="0"/>
        <item x="1"/>
        <item x="2"/>
        <item t="default"/>
      </items>
    </pivotField>
    <pivotField numFmtId="22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</pivotFields>
  <rowFields count="2">
    <field x="1"/>
    <field x="3"/>
  </rowFields>
  <rowItems count="10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15FD0-9CAD-4E65-997D-2D2C7C5AFB8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tage Used">
  <location ref="A17:B23" firstHeaderRow="1" firstDataRow="1" firstDataCol="1"/>
  <pivotFields count="15"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numFmtId="1"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cks" fld="10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19EF2-3D73-419B-9DB7-3E69CE92E0E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K13" firstHeaderRow="1" firstDataRow="2" firstDataCol="1"/>
  <pivotFields count="13">
    <pivotField axis="axisRow"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4">
    <field x="12"/>
    <field x="11"/>
    <field x="10"/>
    <field x="0"/>
  </rowFields>
  <rowItems count="9">
    <i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Follower Growth Rate" fld="8" baseField="0" baseItem="0" numFmtId="2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C5B24-04AA-4991-8A17-3D2C0545E96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46:E50" firstHeaderRow="1" firstDataRow="2" firstDataCol="1"/>
  <pivotFields count="13">
    <pivotField axis="axisRow"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4">
    <field x="12"/>
    <field x="11"/>
    <field x="10"/>
    <field x="0"/>
  </rowFields>
  <rowItems count="3"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4-Week MA Follower Gain" fld="9" baseField="0" baseItem="0"/>
  </dataFields>
  <chartFormats count="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8902D-6C09-44C6-8BE6-095C8FEE0E1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G14" firstHeaderRow="0" firstDataRow="1" firstDataCol="1"/>
  <pivotFields count="15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5">
        <item x="0"/>
        <item x="1"/>
        <item x="3"/>
        <item x="2"/>
        <item t="default"/>
      </items>
    </pivotField>
    <pivotField numFmtId="2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Likes" fld="5" baseField="0" baseItem="0"/>
    <dataField name="Average of Likes2" fld="5" subtotal="average" baseField="12" baseItem="0"/>
    <dataField name="Sum of Impressions" fld="8" baseField="0" baseItem="0"/>
    <dataField name="Average of Impressions2" fld="8" subtotal="average" baseField="12" baseItem="0"/>
    <dataField name="Sum of Clicks" fld="10" baseField="0" baseItem="0"/>
    <dataField name="Average of Clicks2" fld="10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EB76C-7342-495B-92D6-37B9831E148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E26" firstHeaderRow="1" firstDataRow="2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Engagement Rate" fld="13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B22DE-CAC2-492D-A8B8-AB6D08484EB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7" firstHeaderRow="1" firstDataRow="1" firstDataCol="1"/>
  <pivotFields count="13">
    <pivotField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ollower Growth Rate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3C541-5BFD-41AE-A547-2A09CF717F5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0" firstDataRow="1" firstDataCol="1"/>
  <pivotFields count="15">
    <pivotField showAll="0"/>
    <pivotField axis="axisRow" showAll="0" sortType="descending">
      <items count="4">
        <item x="2"/>
        <item x="1"/>
        <item x="0"/>
        <item t="default"/>
      </items>
    </pivotField>
    <pivotField numFmtId="164"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Likes" fld="5" baseField="0" baseItem="0"/>
    <dataField name="Sum of Shares" fld="6" baseField="0" baseItem="0"/>
    <dataField name="Sum of Comments" fld="7" baseField="0" baseItem="0"/>
    <dataField name="Sum of Impressions" fld="8" baseField="0" baseItem="0"/>
    <dataField name="Sum of Engagement Rate" fld="13" baseField="13" baseItem="0" numFmtId="2"/>
  </dataFields>
  <formats count="3">
    <format dxfId="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">
      <pivotArea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8E9FA5-E117-4111-AF26-638BADC02E31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680889-037B-4575-BD03-6F310411CE4B}" name="Table1" displayName="Table1" ref="A1:M301" totalsRowShown="0" headerRowDxfId="83" dataDxfId="82">
  <autoFilter ref="A1:M301" xr:uid="{27680889-037B-4575-BD03-6F310411CE4B}"/>
  <tableColumns count="13">
    <tableColumn id="1" xr3:uid="{E4196465-DDB4-472B-A67C-00020AA5ADEA}" name="Post ID" dataDxfId="81"/>
    <tableColumn id="2" xr3:uid="{518262A5-D66A-435C-B4A7-987ACAFA9281}" name="Platform" dataDxfId="80"/>
    <tableColumn id="3" xr3:uid="{61CE5076-9B5E-4BC2-A646-90F5353E7D70}" name="Date" dataDxfId="79"/>
    <tableColumn id="4" xr3:uid="{69E8CCC4-6FB4-4E57-99C0-9893E3050320}" name="Content Type" dataDxfId="78"/>
    <tableColumn id="5" xr3:uid="{E73CC956-B779-4494-ABDC-6C1183EC10D0}" name="Post Text" dataDxfId="77"/>
    <tableColumn id="6" xr3:uid="{86D1DD0A-1FBD-49C0-A314-631F28BCF634}" name="Likes" dataDxfId="76"/>
    <tableColumn id="7" xr3:uid="{D4838D93-DBD8-4E6F-88DB-EDFC39B72699}" name="Shares" dataDxfId="75"/>
    <tableColumn id="8" xr3:uid="{17AFCB51-AD90-4E82-B602-4B1184122652}" name="Comments" dataDxfId="74"/>
    <tableColumn id="9" xr3:uid="{5F1377B0-325C-408C-81F1-2FC90D091A5A}" name="Impressions" dataDxfId="73"/>
    <tableColumn id="10" xr3:uid="{8498569D-6510-4E9D-96F8-B2FE1186EE7F}" name="Reach" dataDxfId="72"/>
    <tableColumn id="11" xr3:uid="{8C3B3C08-2004-4BD2-A34A-3273282709A7}" name="Clicks" dataDxfId="71"/>
    <tableColumn id="12" xr3:uid="{0993EA80-3417-4A2F-8A7B-293571FA03FD}" name="Hashtags Used" dataDxfId="70"/>
    <tableColumn id="13" xr3:uid="{B880E0AC-9E69-44C7-9FAA-03A7086DDADB}" name="Campaign_Name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E62747-C045-478C-9DC6-D553A7EF06F3}" name="Table1_1" displayName="Table1_1" ref="A1:O485" tableType="queryTable" totalsRowCount="1">
  <sortState xmlns:xlrd2="http://schemas.microsoft.com/office/spreadsheetml/2017/richdata2" ref="A2:O484">
    <sortCondition ref="A1:A484"/>
  </sortState>
  <tableColumns count="15">
    <tableColumn id="1" xr3:uid="{642612B2-3938-47EA-AD2D-C23B1D502066}" uniqueName="1" name="Post ID" queryTableFieldId="1" dataDxfId="68"/>
    <tableColumn id="2" xr3:uid="{553F66FA-A748-4666-9F7E-72BA9FA84B30}" uniqueName="2" name="Platform" queryTableFieldId="2" dataDxfId="67"/>
    <tableColumn id="3" xr3:uid="{C0744BCD-5C65-40E6-8C04-311428A72CE3}" uniqueName="3" name="Date" queryTableFieldId="3" dataDxfId="66" totalsRowDxfId="65"/>
    <tableColumn id="4" xr3:uid="{CA69AC4B-F6A9-4408-B052-80EFB8955837}" uniqueName="4" name="Content Type" queryTableFieldId="4" dataDxfId="64"/>
    <tableColumn id="5" xr3:uid="{7E65817C-E835-4E4A-A8AA-F09C528084FA}" uniqueName="5" name="Post Text" queryTableFieldId="5" dataDxfId="63"/>
    <tableColumn id="6" xr3:uid="{22E5A7F3-DC44-440E-9E4D-3BE45AA6BA99}" uniqueName="6" name="Likes" totalsRowFunction="sum" queryTableFieldId="6"/>
    <tableColumn id="7" xr3:uid="{5CFCE32E-3754-4438-8E18-6B99E66780FD}" uniqueName="7" name="Shares" totalsRowFunction="sum" queryTableFieldId="7"/>
    <tableColumn id="8" xr3:uid="{5839611D-87CC-4FD2-8CB7-86A1B45D74BE}" uniqueName="8" name="Comments" totalsRowFunction="sum" queryTableFieldId="8"/>
    <tableColumn id="9" xr3:uid="{FCF91864-DD7B-410C-AA72-0F35BCDB0475}" uniqueName="9" name="Impressions" queryTableFieldId="9"/>
    <tableColumn id="10" xr3:uid="{C414A73F-60A9-47E1-95AC-038CC5857CEA}" uniqueName="10" name="Reach" queryTableFieldId="10"/>
    <tableColumn id="11" xr3:uid="{804B036A-E99B-4DD2-B865-FADB56BCB6CB}" uniqueName="11" name="Clicks" queryTableFieldId="11"/>
    <tableColumn id="12" xr3:uid="{303FAF0C-B64B-4C3D-9397-4E709D44A45C}" uniqueName="12" name="Hashtags Used" queryTableFieldId="12" dataDxfId="62"/>
    <tableColumn id="13" xr3:uid="{CDF7CB08-0100-4CC1-9764-40DDF4125E76}" uniqueName="13" name="Campaign_Name" queryTableFieldId="13" dataDxfId="61"/>
    <tableColumn id="14" xr3:uid="{024F6F11-6C10-4EC3-957A-7DD7354217F3}" uniqueName="14" name="Engagement Rate" queryTableFieldId="14" dataDxfId="60" totalsRowDxfId="59">
      <calculatedColumnFormula>(F2+G2+H2)/I2</calculatedColumnFormula>
    </tableColumn>
    <tableColumn id="15" xr3:uid="{958F4EB2-4340-4811-8D88-A6E2C77905C1}" uniqueName="15" name="Click_Rank" queryTableFieldId="15" dataDxfId="58">
      <calculatedColumnFormula>_xlfn.RANK.EQ(K2,K:K,0)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B06BFE-06ED-4532-9673-D69B0D669988}" name="Table5" displayName="Table5" ref="R4:AF15" totalsRowShown="0">
  <tableColumns count="15">
    <tableColumn id="1" xr3:uid="{814C0DC2-7575-4BB3-96D0-17BC76FE5C69}" name="Post ID"/>
    <tableColumn id="2" xr3:uid="{B0C41396-398B-4210-8A30-8497AFCA77BD}" name="Platform"/>
    <tableColumn id="3" xr3:uid="{503872E3-61BA-4759-9F4F-10EB8CA4EA20}" name="Date"/>
    <tableColumn id="4" xr3:uid="{362295F4-75E5-4491-AD7A-EF838AF0AB7D}" name="Content Type"/>
    <tableColumn id="5" xr3:uid="{10E82805-6AA2-4BCA-B43B-EF6D7D9EDA73}" name="Post Text"/>
    <tableColumn id="6" xr3:uid="{8C0BF9AC-EBE6-41E9-816C-0A0AE6349850}" name="Likes"/>
    <tableColumn id="7" xr3:uid="{5137D3DE-BD74-45FA-99F7-6B381B47CC3E}" name="Shares"/>
    <tableColumn id="8" xr3:uid="{400B198B-0F8B-4B71-9D3D-D64562853C35}" name="Comments"/>
    <tableColumn id="9" xr3:uid="{72E4BC7C-0457-4B62-BF7C-416F5D350404}" name="Impressions"/>
    <tableColumn id="10" xr3:uid="{D8240D9C-AE35-4C46-82C5-A5F57E4F2465}" name="Reach"/>
    <tableColumn id="11" xr3:uid="{D0D23E80-3103-4225-96E0-78ACEBE1FE28}" name="Clicks"/>
    <tableColumn id="12" xr3:uid="{A2784B91-8965-4838-8157-8A1537F2EC27}" name="Hashtags Used"/>
    <tableColumn id="13" xr3:uid="{596736DB-A6C4-4240-9677-B053C4223F8C}" name="Campaign_Name"/>
    <tableColumn id="14" xr3:uid="{66D3268E-2281-49EE-A892-0910AE1AFD3A}" name="Engagement Rate" dataDxfId="57"/>
    <tableColumn id="15" xr3:uid="{23FEA127-DB48-4BE3-92DB-E34F9D5707A3}" name="Click_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5251CB-E22A-48EC-AF77-1500B09728FB}" name="Table6" displayName="Table6" ref="R20:AF32" totalsRowShown="0">
  <tableColumns count="15">
    <tableColumn id="1" xr3:uid="{B39350C9-9FF6-43D5-B6F7-8F6E629B7ED9}" name="Post ID"/>
    <tableColumn id="2" xr3:uid="{8CD33A84-FCC0-4246-B927-ABBBE256E54B}" name="Platform"/>
    <tableColumn id="3" xr3:uid="{72EA951C-DB6A-478E-BBA3-68ED65CFB624}" name="Date"/>
    <tableColumn id="4" xr3:uid="{4C42BC73-9478-41BA-A00E-E5CAFE55F68C}" name="Content Type"/>
    <tableColumn id="5" xr3:uid="{16070C43-977E-4B56-95B6-7FBB19995B73}" name="Post Text"/>
    <tableColumn id="6" xr3:uid="{8F4E70C0-7A87-4D94-B8BD-5F95F5BB3B6A}" name="Likes"/>
    <tableColumn id="7" xr3:uid="{D9085110-83D4-4DCF-8F8B-382DB5624719}" name="Shares"/>
    <tableColumn id="8" xr3:uid="{0E322213-D129-4FAF-BDA1-79B85B883AC2}" name="Comments"/>
    <tableColumn id="9" xr3:uid="{65720347-7E93-4686-A2D3-C49638F205EE}" name="Impressions"/>
    <tableColumn id="10" xr3:uid="{264FC736-2F62-4717-B33D-49F28A0A629D}" name="Reach"/>
    <tableColumn id="11" xr3:uid="{9B258DAD-A158-4197-BDA4-85EE8E2E8B6A}" name="Clicks"/>
    <tableColumn id="12" xr3:uid="{AD0DC37B-6BE1-498E-9BE8-0CA07BE4726C}" name="Hashtags Used"/>
    <tableColumn id="13" xr3:uid="{CD41E4D4-34D1-4E00-9DFE-9FBDA153E03A}" name="Campaign_Name"/>
    <tableColumn id="14" xr3:uid="{EE6B0C76-791D-4E70-BA06-A7594CA65579}" name="Engagement Rate" dataDxfId="56"/>
    <tableColumn id="15" xr3:uid="{73E3BAFE-BAF8-4184-A680-EE274890CF0D}" name="Click_Rank" dataDxfId="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06BBC6-5DED-4718-8EB5-16B510DE78C7}" name="Table3" displayName="Table3" ref="A1:J202" totalsRowCount="1" headerRowDxfId="54" dataDxfId="53">
  <sortState xmlns:xlrd2="http://schemas.microsoft.com/office/spreadsheetml/2017/richdata2" ref="A2:J201">
    <sortCondition ref="G2:G201"/>
    <sortCondition descending="1" ref="F2:F201"/>
  </sortState>
  <tableColumns count="10">
    <tableColumn id="1" xr3:uid="{21421459-BEC2-4A5B-8445-BBC630377C28}" name="Week_Start_Date" dataDxfId="52" totalsRowDxfId="51"/>
    <tableColumn id="12" xr3:uid="{01B08281-E0AB-4C9F-83BA-276432EA39A9}" name="Platform" dataDxfId="50" totalsRowDxfId="49"/>
    <tableColumn id="3" xr3:uid="{AA43F823-BC20-4E8C-B944-DC6116BD8CF4}" name="New_Followers" dataDxfId="48" totalsRowDxfId="47"/>
    <tableColumn id="4" xr3:uid="{686A18B6-6EC0-4A3E-878D-B9B0ADDEE978}" name="Unfollows" dataDxfId="46" totalsRowDxfId="45"/>
    <tableColumn id="5" xr3:uid="{87BCBA9C-4449-4BD6-9C27-75361E9CBDA8}" name="Total_Followers" dataDxfId="44" totalsRowDxfId="43"/>
    <tableColumn id="6" xr3:uid="{2BD5E3B5-C0C5-452C-BC61-DE21D7C5708F}" name="Engagement_Rate" dataDxfId="42" totalsRowDxfId="41"/>
    <tableColumn id="7" xr3:uid="{6F1FA4DC-24EB-4E57-B39D-9F553A4908C6}" name="Ad_Spend" dataDxfId="40" totalsRowDxfId="39"/>
    <tableColumn id="15" xr3:uid="{AC6375E0-D2A0-44D0-99B6-D315A0711A76}" name="Net_Follower_Gain" totalsRowFunction="sum" dataDxfId="38" totalsRowDxfId="37">
      <calculatedColumnFormula>(C2-D2)</calculatedColumnFormula>
    </tableColumn>
    <tableColumn id="8" xr3:uid="{074EFC54-60A4-40B7-B817-C420078C9D06}" name="Follower Growth Rate" totalsRowFunction="average" dataDxfId="36" totalsRowDxfId="35">
      <calculatedColumnFormula>((C2-D2)/E2)*100</calculatedColumnFormula>
    </tableColumn>
    <tableColumn id="17" xr3:uid="{8A6BC3CE-3C15-4269-B482-39DEE7077B38}" name="4-Week MA Follower Gain" dataDxfId="34" totalsRowDxfId="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6AA183-F6A3-40FA-B989-3936ACC07C3D}" name="Table4" displayName="Table4" ref="A1:M5" totalsRowShown="0" headerRowDxfId="32" dataDxfId="31">
  <tableColumns count="13">
    <tableColumn id="1" xr3:uid="{8E771FFD-0E21-47F5-9920-C13F501AF4D4}" name="Campaign_Name" dataDxfId="30"/>
    <tableColumn id="2" xr3:uid="{4801EC3F-12DA-4E13-AC67-4238BD71FD7A}" name="Start_Date" dataDxfId="29"/>
    <tableColumn id="3" xr3:uid="{312D0D79-DAE2-489C-9927-54BD8698DAA8}" name="End_Date" dataDxfId="28"/>
    <tableColumn id="4" xr3:uid="{DD29CD40-0E03-463B-AC8A-B43E493F510B}" name="Objective" dataDxfId="27"/>
    <tableColumn id="5" xr3:uid="{A4F2AC17-F6E2-4E59-9135-7CAED65206F2}" name="Total_Budget" dataDxfId="26"/>
    <tableColumn id="6" xr3:uid="{17544D84-775E-462E-B52C-87371D53D44C}" name="Target_Platforms" dataDxfId="25"/>
    <tableColumn id="7" xr3:uid="{B2E13796-FB86-4AE5-9658-1EC239919F46}" name="Primary_Hashtags" dataDxfId="24"/>
    <tableColumn id="12" xr3:uid="{F07B316C-114B-46EC-922B-6BE6E17798DE}" name="Likes" dataDxfId="23"/>
    <tableColumn id="13" xr3:uid="{C8275775-C8F1-4750-8ACD-66988D398B9E}" name="Shares" dataDxfId="22"/>
    <tableColumn id="14" xr3:uid="{EFD5FC9F-0803-403B-A5CB-D31B58AEAB8D}" name="Comments" dataDxfId="21"/>
    <tableColumn id="8" xr3:uid="{59E0F62D-4728-4C7C-9470-BA2736EA6DAC}" name="Total Engagement" dataDxfId="20">
      <calculatedColumnFormula>SUM(Table4[[#This Row],[Likes]],Table4[[#This Row],[Shares]],Table4[[#This Row],[Comments]])</calculatedColumnFormula>
    </tableColumn>
    <tableColumn id="9" xr3:uid="{387825E1-7CBC-4640-903F-25000BB2AF5D}" name="ROI" dataDxfId="19">
      <calculatedColumnFormula>(K2/E2)</calculatedColumnFormula>
    </tableColumn>
    <tableColumn id="10" xr3:uid="{B3B2E91A-5951-400F-8753-5064A6C21256}" name="Net_Follower_gain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95B76D-F162-40C6-8AF5-DE23BC66B060}" name="Table7" displayName="Table7" ref="A18:G26" totalsRowShown="0" headerRowDxfId="17" headerRowBorderDxfId="16" tableBorderDxfId="15">
  <tableColumns count="7">
    <tableColumn id="1" xr3:uid="{16E4D8D8-AFE0-4813-9806-03E344E6BD16}" name="Campaign_Name" dataDxfId="14"/>
    <tableColumn id="2" xr3:uid="{19F6584F-EBED-46D3-BD7E-FADDF8738FC1}" name="Start_Date" dataDxfId="13"/>
    <tableColumn id="3" xr3:uid="{8825D40E-C255-43B9-9DDC-E626C3484ACB}" name="End_Date" dataDxfId="12"/>
    <tableColumn id="4" xr3:uid="{B922DEDA-BF47-47C9-98B9-89D3C148FB85}" name="Target_Platforms" dataDxfId="11"/>
    <tableColumn id="5" xr3:uid="{683955F3-EFE0-4FA1-9658-F9499D0E7453}" name="Average Engagement Rate" dataDxfId="10" dataCellStyle="Percent"/>
    <tableColumn id="6" xr3:uid="{97F50775-9135-411A-98AD-1EA97CBD3928}" name="Engagement Uplift_x000a_(During Rate- Before Rate)/Before Rate" dataDxfId="9"/>
    <tableColumn id="7" xr3:uid="{30B0627D-F82F-461F-8D25-7996CE82EEAD}" name="Engagement Uplift %_x000a_(During Rate- Before Rate)/Before Rate" dataDxfId="8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opLeftCell="F1" workbookViewId="0">
      <selection activeCell="P8" sqref="P8"/>
    </sheetView>
  </sheetViews>
  <sheetFormatPr defaultColWidth="14.44140625" defaultRowHeight="15" customHeight="1"/>
  <cols>
    <col min="1" max="1" width="9.77734375" customWidth="1"/>
    <col min="2" max="2" width="11.109375" customWidth="1"/>
    <col min="3" max="3" width="18.88671875" style="5" customWidth="1"/>
    <col min="4" max="4" width="16" customWidth="1"/>
    <col min="5" max="5" width="12.109375" customWidth="1"/>
    <col min="6" max="6" width="8.6640625" customWidth="1"/>
    <col min="7" max="7" width="9.6640625" customWidth="1"/>
    <col min="8" max="8" width="13.5546875" customWidth="1"/>
    <col min="9" max="9" width="14.88671875" customWidth="1"/>
    <col min="10" max="10" width="9" customWidth="1"/>
    <col min="11" max="11" width="8.77734375" customWidth="1"/>
    <col min="12" max="12" width="35.44140625" bestFit="1" customWidth="1"/>
    <col min="13" max="13" width="19.44140625" customWidth="1"/>
    <col min="14" max="26" width="8.6640625" customWidth="1"/>
  </cols>
  <sheetData>
    <row r="1" spans="1:16" ht="14.4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1" t="s">
        <v>12</v>
      </c>
      <c r="P1" s="43" t="s">
        <v>459</v>
      </c>
    </row>
    <row r="2" spans="1:16" ht="14.4">
      <c r="A2" s="1" t="s">
        <v>13</v>
      </c>
      <c r="B2" s="1" t="s">
        <v>14</v>
      </c>
      <c r="C2" s="4">
        <v>45781</v>
      </c>
      <c r="D2" s="1" t="s">
        <v>15</v>
      </c>
      <c r="E2" s="1" t="s">
        <v>16</v>
      </c>
      <c r="F2" s="7">
        <v>2414</v>
      </c>
      <c r="G2" s="7">
        <v>245</v>
      </c>
      <c r="H2" s="7">
        <v>137</v>
      </c>
      <c r="I2" s="7">
        <v>21181</v>
      </c>
      <c r="J2" s="7">
        <v>45292</v>
      </c>
      <c r="K2" s="7">
        <v>133</v>
      </c>
      <c r="L2" s="1" t="s">
        <v>17</v>
      </c>
      <c r="M2" s="1" t="s">
        <v>18</v>
      </c>
      <c r="P2" s="43" t="s">
        <v>460</v>
      </c>
    </row>
    <row r="3" spans="1:16" ht="14.4">
      <c r="A3" s="1" t="s">
        <v>19</v>
      </c>
      <c r="B3" s="1" t="s">
        <v>14</v>
      </c>
      <c r="C3" s="4">
        <v>45689</v>
      </c>
      <c r="D3" s="1" t="s">
        <v>15</v>
      </c>
      <c r="E3" s="1" t="s">
        <v>20</v>
      </c>
      <c r="F3" s="7">
        <v>1934</v>
      </c>
      <c r="G3" s="7">
        <v>210</v>
      </c>
      <c r="H3" s="7">
        <v>393</v>
      </c>
      <c r="I3" s="7">
        <v>29129</v>
      </c>
      <c r="J3" s="7">
        <v>73287</v>
      </c>
      <c r="K3" s="7">
        <v>273</v>
      </c>
      <c r="L3" s="1" t="s">
        <v>21</v>
      </c>
      <c r="M3" s="1" t="s">
        <v>22</v>
      </c>
      <c r="P3" s="43" t="s">
        <v>461</v>
      </c>
    </row>
    <row r="4" spans="1:16" ht="14.4">
      <c r="A4" s="1" t="s">
        <v>23</v>
      </c>
      <c r="B4" s="1" t="s">
        <v>24</v>
      </c>
      <c r="C4" s="4">
        <v>45629</v>
      </c>
      <c r="D4" s="1" t="s">
        <v>25</v>
      </c>
      <c r="E4" s="1" t="s">
        <v>26</v>
      </c>
      <c r="F4" s="7">
        <v>3092</v>
      </c>
      <c r="G4" s="7">
        <v>177</v>
      </c>
      <c r="H4" s="7">
        <v>81</v>
      </c>
      <c r="I4" s="7">
        <v>47533</v>
      </c>
      <c r="J4" s="7">
        <v>29220</v>
      </c>
      <c r="K4" s="7">
        <v>121</v>
      </c>
      <c r="L4" s="1" t="s">
        <v>27</v>
      </c>
      <c r="M4" s="1" t="s">
        <v>18</v>
      </c>
      <c r="P4" s="43" t="s">
        <v>463</v>
      </c>
    </row>
    <row r="5" spans="1:16" ht="14.4">
      <c r="A5" s="1" t="s">
        <v>28</v>
      </c>
      <c r="B5" s="1" t="s">
        <v>14</v>
      </c>
      <c r="C5" s="4">
        <v>45629</v>
      </c>
      <c r="D5" s="1" t="s">
        <v>15</v>
      </c>
      <c r="E5" s="1" t="s">
        <v>29</v>
      </c>
      <c r="F5" s="7">
        <v>3173</v>
      </c>
      <c r="G5" s="7">
        <v>229</v>
      </c>
      <c r="H5" s="7">
        <v>197</v>
      </c>
      <c r="I5" s="7">
        <v>29604</v>
      </c>
      <c r="J5" s="7">
        <v>21809</v>
      </c>
      <c r="K5" s="7">
        <v>272</v>
      </c>
      <c r="L5" s="1" t="s">
        <v>17</v>
      </c>
      <c r="M5" s="1" t="s">
        <v>18</v>
      </c>
      <c r="P5" s="43" t="s">
        <v>462</v>
      </c>
    </row>
    <row r="6" spans="1:16" ht="14.4">
      <c r="A6" s="1" t="s">
        <v>30</v>
      </c>
      <c r="B6" s="1" t="s">
        <v>364</v>
      </c>
      <c r="C6" s="4">
        <v>45388</v>
      </c>
      <c r="D6" s="1" t="s">
        <v>15</v>
      </c>
      <c r="E6" s="1" t="s">
        <v>31</v>
      </c>
      <c r="F6" s="7">
        <v>2748</v>
      </c>
      <c r="G6" s="7">
        <v>145</v>
      </c>
      <c r="H6" s="7">
        <v>315</v>
      </c>
      <c r="I6" s="7">
        <v>24401</v>
      </c>
      <c r="J6" s="7">
        <v>61182</v>
      </c>
      <c r="K6" s="7">
        <v>200</v>
      </c>
      <c r="L6" s="1" t="s">
        <v>32</v>
      </c>
      <c r="M6" s="1" t="s">
        <v>22</v>
      </c>
    </row>
    <row r="7" spans="1:16" ht="14.4">
      <c r="A7" s="1" t="s">
        <v>33</v>
      </c>
      <c r="B7" s="1" t="s">
        <v>364</v>
      </c>
      <c r="C7" s="4">
        <v>45456</v>
      </c>
      <c r="D7" s="1" t="s">
        <v>15</v>
      </c>
      <c r="E7" s="1" t="s">
        <v>34</v>
      </c>
      <c r="F7" s="7">
        <v>3882</v>
      </c>
      <c r="G7" s="7">
        <v>239</v>
      </c>
      <c r="H7" s="7">
        <v>275</v>
      </c>
      <c r="I7" s="7">
        <v>58748</v>
      </c>
      <c r="J7" s="7">
        <v>44646</v>
      </c>
      <c r="K7" s="7">
        <v>149</v>
      </c>
      <c r="L7" s="1" t="s">
        <v>32</v>
      </c>
      <c r="M7" s="1" t="s">
        <v>22</v>
      </c>
    </row>
    <row r="8" spans="1:16" ht="14.4">
      <c r="A8" s="1" t="s">
        <v>35</v>
      </c>
      <c r="B8" s="1" t="s">
        <v>24</v>
      </c>
      <c r="C8" s="4">
        <v>45645</v>
      </c>
      <c r="D8" s="1" t="s">
        <v>25</v>
      </c>
      <c r="E8" s="1" t="s">
        <v>36</v>
      </c>
      <c r="F8" s="7">
        <v>4674</v>
      </c>
      <c r="G8" s="7">
        <v>409</v>
      </c>
      <c r="H8" s="7">
        <v>327</v>
      </c>
      <c r="I8" s="7">
        <v>20756</v>
      </c>
      <c r="J8" s="7">
        <v>63599</v>
      </c>
      <c r="K8" s="7">
        <v>212</v>
      </c>
      <c r="L8" s="1" t="s">
        <v>17</v>
      </c>
      <c r="M8" s="1" t="s">
        <v>18</v>
      </c>
    </row>
    <row r="9" spans="1:16" ht="14.4">
      <c r="A9" s="1" t="s">
        <v>37</v>
      </c>
      <c r="B9" s="1" t="s">
        <v>24</v>
      </c>
      <c r="C9" s="4">
        <v>45421</v>
      </c>
      <c r="D9" s="1" t="s">
        <v>25</v>
      </c>
      <c r="E9" s="1" t="s">
        <v>29</v>
      </c>
      <c r="F9" s="7">
        <v>1428</v>
      </c>
      <c r="G9" s="7">
        <v>347</v>
      </c>
      <c r="H9" s="7">
        <v>67</v>
      </c>
      <c r="I9" s="7">
        <v>21148</v>
      </c>
      <c r="J9" s="7">
        <v>19712</v>
      </c>
      <c r="K9" s="7">
        <v>120</v>
      </c>
      <c r="L9" s="1" t="s">
        <v>38</v>
      </c>
      <c r="M9" s="1" t="s">
        <v>18</v>
      </c>
    </row>
    <row r="10" spans="1:16" ht="14.4">
      <c r="A10" s="1" t="s">
        <v>39</v>
      </c>
      <c r="B10" s="1" t="s">
        <v>24</v>
      </c>
      <c r="C10" s="4">
        <v>45823</v>
      </c>
      <c r="D10" s="1" t="s">
        <v>15</v>
      </c>
      <c r="E10" s="1" t="s">
        <v>40</v>
      </c>
      <c r="F10" s="7">
        <v>4432</v>
      </c>
      <c r="G10" s="7">
        <v>223</v>
      </c>
      <c r="H10" s="7">
        <v>299</v>
      </c>
      <c r="I10" s="7">
        <v>59016</v>
      </c>
      <c r="J10" s="7">
        <v>21742</v>
      </c>
      <c r="K10" s="7">
        <v>171</v>
      </c>
      <c r="L10" s="1" t="s">
        <v>41</v>
      </c>
      <c r="M10" s="1" t="s">
        <v>18</v>
      </c>
    </row>
    <row r="11" spans="1:16" ht="14.4">
      <c r="A11" s="1" t="s">
        <v>42</v>
      </c>
      <c r="B11" s="1" t="s">
        <v>24</v>
      </c>
      <c r="C11" s="4">
        <v>45630</v>
      </c>
      <c r="D11" s="1" t="s">
        <v>15</v>
      </c>
      <c r="E11" s="1" t="s">
        <v>29</v>
      </c>
      <c r="F11" s="7">
        <v>2357</v>
      </c>
      <c r="G11" s="7">
        <v>274</v>
      </c>
      <c r="H11" s="7">
        <v>172</v>
      </c>
      <c r="I11" s="7">
        <v>21566</v>
      </c>
      <c r="J11" s="7">
        <v>66829</v>
      </c>
      <c r="K11" s="7">
        <v>284</v>
      </c>
      <c r="L11" s="1" t="s">
        <v>41</v>
      </c>
      <c r="M11" s="1" t="s">
        <v>18</v>
      </c>
    </row>
    <row r="12" spans="1:16" ht="14.4">
      <c r="A12" s="1" t="s">
        <v>43</v>
      </c>
      <c r="B12" s="1" t="s">
        <v>24</v>
      </c>
      <c r="C12" s="4">
        <v>45357</v>
      </c>
      <c r="D12" s="1" t="s">
        <v>15</v>
      </c>
      <c r="E12" s="1" t="s">
        <v>16</v>
      </c>
      <c r="F12" s="7">
        <v>1971</v>
      </c>
      <c r="G12" s="7">
        <v>370</v>
      </c>
      <c r="H12" s="7">
        <v>306</v>
      </c>
      <c r="I12" s="7">
        <v>31316</v>
      </c>
      <c r="J12" s="7">
        <v>27897</v>
      </c>
      <c r="K12" s="7">
        <v>88</v>
      </c>
      <c r="L12" s="1" t="s">
        <v>44</v>
      </c>
      <c r="M12" s="1" t="s">
        <v>22</v>
      </c>
    </row>
    <row r="13" spans="1:16" ht="14.4">
      <c r="A13" s="1" t="s">
        <v>45</v>
      </c>
      <c r="B13" s="1" t="s">
        <v>14</v>
      </c>
      <c r="C13" s="4">
        <v>45426</v>
      </c>
      <c r="D13" s="1" t="s">
        <v>15</v>
      </c>
      <c r="E13" s="1" t="s">
        <v>16</v>
      </c>
      <c r="F13" s="7">
        <v>1485</v>
      </c>
      <c r="G13" s="7">
        <v>353</v>
      </c>
      <c r="H13" s="7">
        <v>244</v>
      </c>
      <c r="I13" s="7">
        <v>38419</v>
      </c>
      <c r="J13" s="7">
        <v>38556</v>
      </c>
      <c r="K13" s="7">
        <v>86</v>
      </c>
      <c r="L13" s="1" t="s">
        <v>17</v>
      </c>
      <c r="M13" s="1" t="s">
        <v>18</v>
      </c>
    </row>
    <row r="14" spans="1:16" ht="14.4">
      <c r="A14" s="1" t="s">
        <v>46</v>
      </c>
      <c r="B14" s="1" t="s">
        <v>24</v>
      </c>
      <c r="C14" s="4">
        <v>45826</v>
      </c>
      <c r="D14" s="1" t="s">
        <v>25</v>
      </c>
      <c r="E14" s="1" t="s">
        <v>16</v>
      </c>
      <c r="F14" s="7">
        <v>3956</v>
      </c>
      <c r="G14" s="7">
        <v>319</v>
      </c>
      <c r="H14" s="7">
        <v>61</v>
      </c>
      <c r="I14" s="7">
        <v>58162</v>
      </c>
      <c r="J14" s="7">
        <v>28720</v>
      </c>
      <c r="K14" s="7">
        <v>213</v>
      </c>
      <c r="L14" s="1" t="s">
        <v>27</v>
      </c>
      <c r="M14" s="1" t="s">
        <v>18</v>
      </c>
    </row>
    <row r="15" spans="1:16" ht="14.4">
      <c r="A15" s="1" t="s">
        <v>47</v>
      </c>
      <c r="B15" s="1" t="s">
        <v>24</v>
      </c>
      <c r="C15" s="4">
        <v>45573</v>
      </c>
      <c r="D15" s="1" t="s">
        <v>15</v>
      </c>
      <c r="E15" s="1" t="s">
        <v>48</v>
      </c>
      <c r="F15" s="7">
        <v>2460</v>
      </c>
      <c r="G15" s="7">
        <v>409</v>
      </c>
      <c r="H15" s="7">
        <v>253</v>
      </c>
      <c r="I15" s="7">
        <v>36702</v>
      </c>
      <c r="J15" s="7">
        <v>46122</v>
      </c>
      <c r="K15" s="7">
        <v>264</v>
      </c>
      <c r="L15" s="1" t="s">
        <v>41</v>
      </c>
      <c r="M15" s="1" t="s">
        <v>18</v>
      </c>
    </row>
    <row r="16" spans="1:16" ht="14.4">
      <c r="A16" s="1" t="s">
        <v>49</v>
      </c>
      <c r="B16" s="1" t="s">
        <v>24</v>
      </c>
      <c r="C16" s="4">
        <v>45418</v>
      </c>
      <c r="D16" s="1" t="s">
        <v>15</v>
      </c>
      <c r="E16" s="1" t="s">
        <v>50</v>
      </c>
      <c r="F16" s="7">
        <v>3476</v>
      </c>
      <c r="G16" s="7">
        <v>355</v>
      </c>
      <c r="H16" s="7">
        <v>396</v>
      </c>
      <c r="I16" s="7">
        <v>37492</v>
      </c>
      <c r="J16" s="7">
        <v>27285</v>
      </c>
      <c r="K16" s="7">
        <v>179</v>
      </c>
      <c r="L16" s="1" t="s">
        <v>41</v>
      </c>
      <c r="M16" s="1" t="s">
        <v>18</v>
      </c>
    </row>
    <row r="17" spans="1:13" ht="14.4">
      <c r="A17" s="1" t="s">
        <v>51</v>
      </c>
      <c r="B17" s="1" t="s">
        <v>24</v>
      </c>
      <c r="C17" s="4">
        <v>45655</v>
      </c>
      <c r="D17" s="1" t="s">
        <v>25</v>
      </c>
      <c r="E17" s="1" t="s">
        <v>26</v>
      </c>
      <c r="F17" s="7">
        <v>4049</v>
      </c>
      <c r="G17" s="7">
        <v>377</v>
      </c>
      <c r="H17" s="7">
        <v>94</v>
      </c>
      <c r="I17" s="7">
        <v>48182</v>
      </c>
      <c r="J17" s="7">
        <v>42875</v>
      </c>
      <c r="K17" s="7">
        <v>172</v>
      </c>
      <c r="L17" s="1" t="s">
        <v>27</v>
      </c>
      <c r="M17" s="1" t="s">
        <v>18</v>
      </c>
    </row>
    <row r="18" spans="1:13" ht="14.4">
      <c r="A18" s="1" t="s">
        <v>52</v>
      </c>
      <c r="B18" s="1" t="s">
        <v>24</v>
      </c>
      <c r="C18" s="4">
        <v>45453</v>
      </c>
      <c r="D18" s="1" t="s">
        <v>15</v>
      </c>
      <c r="E18" s="1" t="s">
        <v>34</v>
      </c>
      <c r="F18" s="7">
        <v>1514</v>
      </c>
      <c r="G18" s="7">
        <v>164</v>
      </c>
      <c r="H18" s="7">
        <v>275</v>
      </c>
      <c r="I18" s="7">
        <v>41364</v>
      </c>
      <c r="J18" s="7">
        <v>44389</v>
      </c>
      <c r="K18" s="7">
        <v>83</v>
      </c>
      <c r="L18" s="1" t="s">
        <v>41</v>
      </c>
      <c r="M18" s="1" t="s">
        <v>18</v>
      </c>
    </row>
    <row r="19" spans="1:13" ht="14.4">
      <c r="A19" s="1" t="s">
        <v>53</v>
      </c>
      <c r="B19" s="1" t="s">
        <v>14</v>
      </c>
      <c r="C19" s="4">
        <v>45325</v>
      </c>
      <c r="D19" s="1" t="s">
        <v>25</v>
      </c>
      <c r="E19" s="1" t="s">
        <v>31</v>
      </c>
      <c r="F19" s="7">
        <v>4281</v>
      </c>
      <c r="G19" s="7">
        <v>101</v>
      </c>
      <c r="H19" s="7">
        <v>163</v>
      </c>
      <c r="I19" s="7">
        <v>32278</v>
      </c>
      <c r="J19" s="7">
        <v>53382</v>
      </c>
      <c r="K19" s="7">
        <v>235</v>
      </c>
      <c r="L19" s="1" t="s">
        <v>41</v>
      </c>
      <c r="M19" s="1" t="s">
        <v>54</v>
      </c>
    </row>
    <row r="20" spans="1:13" ht="14.4">
      <c r="A20" s="1" t="s">
        <v>55</v>
      </c>
      <c r="B20" s="1" t="s">
        <v>364</v>
      </c>
      <c r="C20" s="4">
        <v>45458</v>
      </c>
      <c r="D20" s="1" t="s">
        <v>56</v>
      </c>
      <c r="E20" s="1" t="s">
        <v>36</v>
      </c>
      <c r="F20" s="7">
        <v>1751</v>
      </c>
      <c r="G20" s="7">
        <v>143</v>
      </c>
      <c r="H20" s="7">
        <v>151</v>
      </c>
      <c r="I20" s="7">
        <v>31826</v>
      </c>
      <c r="J20" s="7">
        <v>47729</v>
      </c>
      <c r="K20" s="7">
        <v>95</v>
      </c>
      <c r="L20" s="1" t="s">
        <v>57</v>
      </c>
      <c r="M20" s="1" t="s">
        <v>58</v>
      </c>
    </row>
    <row r="21" spans="1:13" ht="15.75" customHeight="1">
      <c r="A21" s="1" t="s">
        <v>59</v>
      </c>
      <c r="B21" s="1" t="s">
        <v>14</v>
      </c>
      <c r="C21" s="4">
        <v>45478</v>
      </c>
      <c r="D21" s="1" t="s">
        <v>15</v>
      </c>
      <c r="E21" s="1" t="s">
        <v>50</v>
      </c>
      <c r="F21" s="7">
        <v>3753</v>
      </c>
      <c r="G21" s="7">
        <v>411</v>
      </c>
      <c r="H21" s="7">
        <v>308</v>
      </c>
      <c r="I21" s="7">
        <v>29138</v>
      </c>
      <c r="J21" s="7">
        <v>27678</v>
      </c>
      <c r="K21" s="7">
        <v>90</v>
      </c>
      <c r="L21" s="1" t="s">
        <v>21</v>
      </c>
      <c r="M21" s="1" t="s">
        <v>22</v>
      </c>
    </row>
    <row r="22" spans="1:13" ht="15.75" customHeight="1">
      <c r="A22" s="1" t="s">
        <v>60</v>
      </c>
      <c r="B22" s="1" t="s">
        <v>14</v>
      </c>
      <c r="C22" s="4">
        <v>45603</v>
      </c>
      <c r="D22" s="1" t="s">
        <v>25</v>
      </c>
      <c r="E22" s="1" t="s">
        <v>29</v>
      </c>
      <c r="F22" s="7">
        <v>1678</v>
      </c>
      <c r="G22" s="7">
        <v>423</v>
      </c>
      <c r="H22" s="7">
        <v>323</v>
      </c>
      <c r="I22" s="7">
        <v>55668</v>
      </c>
      <c r="J22" s="7">
        <v>37945</v>
      </c>
      <c r="K22" s="7">
        <v>230</v>
      </c>
      <c r="L22" s="1" t="s">
        <v>41</v>
      </c>
      <c r="M22" s="1" t="s">
        <v>54</v>
      </c>
    </row>
    <row r="23" spans="1:13" ht="15.75" customHeight="1">
      <c r="A23" s="1" t="s">
        <v>61</v>
      </c>
      <c r="B23" s="1" t="s">
        <v>14</v>
      </c>
      <c r="C23" s="4">
        <v>45823</v>
      </c>
      <c r="D23" s="1" t="s">
        <v>15</v>
      </c>
      <c r="E23" s="1" t="s">
        <v>34</v>
      </c>
      <c r="F23" s="7">
        <v>4896</v>
      </c>
      <c r="G23" s="7">
        <v>466</v>
      </c>
      <c r="H23" s="7">
        <v>233</v>
      </c>
      <c r="I23" s="7">
        <v>28621</v>
      </c>
      <c r="J23" s="7">
        <v>34270</v>
      </c>
      <c r="K23" s="7">
        <v>84</v>
      </c>
      <c r="L23" s="1" t="s">
        <v>17</v>
      </c>
      <c r="M23" s="1" t="s">
        <v>18</v>
      </c>
    </row>
    <row r="24" spans="1:13" ht="15.75" customHeight="1">
      <c r="A24" s="1" t="s">
        <v>62</v>
      </c>
      <c r="B24" s="1" t="s">
        <v>364</v>
      </c>
      <c r="C24" s="4">
        <v>45452</v>
      </c>
      <c r="D24" s="1" t="s">
        <v>56</v>
      </c>
      <c r="E24" s="1" t="s">
        <v>48</v>
      </c>
      <c r="F24" s="7">
        <v>2786</v>
      </c>
      <c r="G24" s="7">
        <v>368</v>
      </c>
      <c r="H24" s="7">
        <v>208</v>
      </c>
      <c r="I24" s="7">
        <v>42000</v>
      </c>
      <c r="J24" s="7">
        <v>39967</v>
      </c>
      <c r="K24" s="7">
        <v>103</v>
      </c>
      <c r="L24" s="1" t="s">
        <v>57</v>
      </c>
      <c r="M24" s="1" t="s">
        <v>58</v>
      </c>
    </row>
    <row r="25" spans="1:13" ht="15.75" customHeight="1">
      <c r="A25" s="1" t="s">
        <v>63</v>
      </c>
      <c r="B25" s="1" t="s">
        <v>24</v>
      </c>
      <c r="C25" s="4">
        <v>45583</v>
      </c>
      <c r="D25" s="1" t="s">
        <v>15</v>
      </c>
      <c r="E25" s="1" t="s">
        <v>26</v>
      </c>
      <c r="F25" s="7">
        <v>2607</v>
      </c>
      <c r="G25" s="7">
        <v>379</v>
      </c>
      <c r="H25" s="7">
        <v>180</v>
      </c>
      <c r="I25" s="7">
        <v>28712</v>
      </c>
      <c r="J25" s="7">
        <v>61620</v>
      </c>
      <c r="K25" s="7">
        <v>174</v>
      </c>
      <c r="L25" s="1" t="s">
        <v>44</v>
      </c>
      <c r="M25" s="1" t="s">
        <v>22</v>
      </c>
    </row>
    <row r="26" spans="1:13" ht="15.75" customHeight="1">
      <c r="A26" s="1" t="s">
        <v>64</v>
      </c>
      <c r="B26" s="1" t="s">
        <v>364</v>
      </c>
      <c r="C26" s="4">
        <v>45575</v>
      </c>
      <c r="D26" s="1" t="s">
        <v>56</v>
      </c>
      <c r="E26" s="1" t="s">
        <v>48</v>
      </c>
      <c r="F26" s="7">
        <v>4013</v>
      </c>
      <c r="G26" s="7">
        <v>320</v>
      </c>
      <c r="H26" s="7">
        <v>92</v>
      </c>
      <c r="I26" s="7">
        <v>54605</v>
      </c>
      <c r="J26" s="7">
        <v>60169</v>
      </c>
      <c r="K26" s="7">
        <v>232</v>
      </c>
      <c r="L26" s="1" t="s">
        <v>57</v>
      </c>
      <c r="M26" s="1" t="s">
        <v>58</v>
      </c>
    </row>
    <row r="27" spans="1:13" ht="15.75" customHeight="1">
      <c r="A27" s="1" t="s">
        <v>65</v>
      </c>
      <c r="B27" s="1" t="s">
        <v>24</v>
      </c>
      <c r="C27" s="4">
        <v>45791</v>
      </c>
      <c r="D27" s="1" t="s">
        <v>25</v>
      </c>
      <c r="E27" s="1" t="s">
        <v>48</v>
      </c>
      <c r="F27" s="7">
        <v>2707</v>
      </c>
      <c r="G27" s="7">
        <v>103</v>
      </c>
      <c r="H27" s="7">
        <v>51</v>
      </c>
      <c r="I27" s="7">
        <v>55302</v>
      </c>
      <c r="J27" s="7">
        <v>18801</v>
      </c>
      <c r="K27" s="7">
        <v>147</v>
      </c>
      <c r="L27" s="1" t="s">
        <v>38</v>
      </c>
      <c r="M27" s="1" t="s">
        <v>18</v>
      </c>
    </row>
    <row r="28" spans="1:13" ht="15.75" customHeight="1">
      <c r="A28" s="1" t="s">
        <v>66</v>
      </c>
      <c r="B28" s="1" t="s">
        <v>14</v>
      </c>
      <c r="C28" s="4">
        <v>45625</v>
      </c>
      <c r="D28" s="1" t="s">
        <v>15</v>
      </c>
      <c r="E28" s="1" t="s">
        <v>34</v>
      </c>
      <c r="F28" s="7">
        <v>2824</v>
      </c>
      <c r="G28" s="7">
        <v>425</v>
      </c>
      <c r="H28" s="7">
        <v>274</v>
      </c>
      <c r="I28" s="7">
        <v>31004</v>
      </c>
      <c r="J28" s="7">
        <v>53488</v>
      </c>
      <c r="K28" s="7">
        <v>268</v>
      </c>
      <c r="L28" s="1" t="s">
        <v>17</v>
      </c>
      <c r="M28" s="1" t="s">
        <v>18</v>
      </c>
    </row>
    <row r="29" spans="1:13" ht="15.75" customHeight="1">
      <c r="A29" s="1" t="s">
        <v>67</v>
      </c>
      <c r="B29" s="1" t="s">
        <v>364</v>
      </c>
      <c r="C29" s="4">
        <v>45356</v>
      </c>
      <c r="D29" s="1" t="s">
        <v>56</v>
      </c>
      <c r="E29" s="1" t="s">
        <v>20</v>
      </c>
      <c r="F29" s="7">
        <v>3558</v>
      </c>
      <c r="G29" s="7">
        <v>314</v>
      </c>
      <c r="H29" s="7">
        <v>199</v>
      </c>
      <c r="I29" s="7">
        <v>49612</v>
      </c>
      <c r="J29" s="7">
        <v>53929</v>
      </c>
      <c r="K29" s="7">
        <v>206</v>
      </c>
      <c r="L29" s="1" t="s">
        <v>57</v>
      </c>
      <c r="M29" s="1" t="s">
        <v>58</v>
      </c>
    </row>
    <row r="30" spans="1:13" ht="15.75" customHeight="1">
      <c r="A30" s="1" t="s">
        <v>68</v>
      </c>
      <c r="B30" s="1" t="s">
        <v>24</v>
      </c>
      <c r="C30" s="4">
        <v>45734</v>
      </c>
      <c r="D30" s="1" t="s">
        <v>25</v>
      </c>
      <c r="E30" s="1" t="s">
        <v>20</v>
      </c>
      <c r="F30" s="7">
        <v>3418</v>
      </c>
      <c r="G30" s="7">
        <v>188</v>
      </c>
      <c r="H30" s="7">
        <v>387</v>
      </c>
      <c r="I30" s="7">
        <v>57431</v>
      </c>
      <c r="J30" s="7">
        <v>36933</v>
      </c>
      <c r="K30" s="7">
        <v>202</v>
      </c>
      <c r="L30" s="1" t="s">
        <v>27</v>
      </c>
      <c r="M30" s="1" t="s">
        <v>18</v>
      </c>
    </row>
    <row r="31" spans="1:13" ht="15.75" customHeight="1">
      <c r="A31" s="1" t="s">
        <v>69</v>
      </c>
      <c r="B31" s="1" t="s">
        <v>24</v>
      </c>
      <c r="C31" s="4">
        <v>45773</v>
      </c>
      <c r="D31" s="1" t="s">
        <v>15</v>
      </c>
      <c r="E31" s="1" t="s">
        <v>16</v>
      </c>
      <c r="F31" s="7">
        <v>2411</v>
      </c>
      <c r="G31" s="7">
        <v>194</v>
      </c>
      <c r="H31" s="7">
        <v>168</v>
      </c>
      <c r="I31" s="7">
        <v>26665</v>
      </c>
      <c r="J31" s="7">
        <v>71699</v>
      </c>
      <c r="K31" s="7">
        <v>197</v>
      </c>
      <c r="L31" s="1" t="s">
        <v>41</v>
      </c>
      <c r="M31" s="1" t="s">
        <v>18</v>
      </c>
    </row>
    <row r="32" spans="1:13" ht="15.75" customHeight="1">
      <c r="A32" s="1" t="s">
        <v>70</v>
      </c>
      <c r="B32" s="1" t="s">
        <v>14</v>
      </c>
      <c r="C32" s="4">
        <v>45658</v>
      </c>
      <c r="D32" s="1" t="s">
        <v>15</v>
      </c>
      <c r="E32" s="1" t="s">
        <v>26</v>
      </c>
      <c r="F32" s="7">
        <v>4036</v>
      </c>
      <c r="G32" s="7">
        <v>112</v>
      </c>
      <c r="H32" s="7">
        <v>382</v>
      </c>
      <c r="I32" s="7">
        <v>56284</v>
      </c>
      <c r="J32" s="7">
        <v>29440</v>
      </c>
      <c r="K32" s="7">
        <v>279</v>
      </c>
      <c r="L32" s="1" t="s">
        <v>17</v>
      </c>
      <c r="M32" s="1" t="s">
        <v>18</v>
      </c>
    </row>
    <row r="33" spans="1:13" ht="15.75" customHeight="1">
      <c r="A33" s="1" t="s">
        <v>71</v>
      </c>
      <c r="B33" s="1" t="s">
        <v>24</v>
      </c>
      <c r="C33" s="4">
        <v>45419</v>
      </c>
      <c r="D33" s="1" t="s">
        <v>25</v>
      </c>
      <c r="E33" s="1" t="s">
        <v>20</v>
      </c>
      <c r="F33" s="7">
        <v>2776</v>
      </c>
      <c r="G33" s="7">
        <v>307</v>
      </c>
      <c r="H33" s="7">
        <v>178</v>
      </c>
      <c r="I33" s="7">
        <v>43365</v>
      </c>
      <c r="J33" s="7">
        <v>48408</v>
      </c>
      <c r="K33" s="7">
        <v>138</v>
      </c>
      <c r="L33" s="1" t="s">
        <v>17</v>
      </c>
      <c r="M33" s="1" t="s">
        <v>18</v>
      </c>
    </row>
    <row r="34" spans="1:13" ht="15.75" customHeight="1">
      <c r="A34" s="1" t="s">
        <v>72</v>
      </c>
      <c r="B34" s="1" t="s">
        <v>24</v>
      </c>
      <c r="C34" s="4">
        <v>45574</v>
      </c>
      <c r="D34" s="1" t="s">
        <v>25</v>
      </c>
      <c r="E34" s="1" t="s">
        <v>16</v>
      </c>
      <c r="F34" s="7">
        <v>4929</v>
      </c>
      <c r="G34" s="7">
        <v>182</v>
      </c>
      <c r="H34" s="7">
        <v>95</v>
      </c>
      <c r="I34" s="7">
        <v>32181</v>
      </c>
      <c r="J34" s="7">
        <v>31084</v>
      </c>
      <c r="K34" s="7">
        <v>289</v>
      </c>
      <c r="L34" s="1" t="s">
        <v>38</v>
      </c>
      <c r="M34" s="1" t="s">
        <v>18</v>
      </c>
    </row>
    <row r="35" spans="1:13" ht="15.75" customHeight="1">
      <c r="A35" s="1" t="s">
        <v>73</v>
      </c>
      <c r="B35" s="1" t="s">
        <v>14</v>
      </c>
      <c r="C35" s="4">
        <v>45666</v>
      </c>
      <c r="D35" s="1" t="s">
        <v>15</v>
      </c>
      <c r="E35" s="1" t="s">
        <v>26</v>
      </c>
      <c r="F35" s="7">
        <v>1015</v>
      </c>
      <c r="G35" s="7">
        <v>366</v>
      </c>
      <c r="H35" s="7">
        <v>308</v>
      </c>
      <c r="I35" s="7">
        <v>38127</v>
      </c>
      <c r="J35" s="7">
        <v>63790</v>
      </c>
      <c r="K35" s="7">
        <v>287</v>
      </c>
      <c r="L35" s="1" t="s">
        <v>17</v>
      </c>
      <c r="M35" s="1" t="s">
        <v>18</v>
      </c>
    </row>
    <row r="36" spans="1:13" ht="15.75" customHeight="1">
      <c r="A36" s="1" t="s">
        <v>74</v>
      </c>
      <c r="B36" s="1" t="s">
        <v>24</v>
      </c>
      <c r="C36" s="4">
        <v>45785</v>
      </c>
      <c r="D36" s="1" t="s">
        <v>25</v>
      </c>
      <c r="E36" s="1" t="s">
        <v>50</v>
      </c>
      <c r="F36" s="7">
        <v>3316</v>
      </c>
      <c r="G36" s="7">
        <v>332</v>
      </c>
      <c r="H36" s="7">
        <v>268</v>
      </c>
      <c r="I36" s="7">
        <v>40095</v>
      </c>
      <c r="J36" s="7">
        <v>36913</v>
      </c>
      <c r="K36" s="7">
        <v>265</v>
      </c>
      <c r="L36" s="1" t="s">
        <v>27</v>
      </c>
      <c r="M36" s="1" t="s">
        <v>18</v>
      </c>
    </row>
    <row r="37" spans="1:13" ht="15.75" customHeight="1">
      <c r="A37" s="1" t="s">
        <v>75</v>
      </c>
      <c r="B37" s="1" t="s">
        <v>14</v>
      </c>
      <c r="C37" s="4">
        <v>45416</v>
      </c>
      <c r="D37" s="1" t="s">
        <v>15</v>
      </c>
      <c r="E37" s="1" t="s">
        <v>29</v>
      </c>
      <c r="F37" s="7">
        <v>2274</v>
      </c>
      <c r="G37" s="7">
        <v>243</v>
      </c>
      <c r="H37" s="7">
        <v>222</v>
      </c>
      <c r="I37" s="7">
        <v>43066</v>
      </c>
      <c r="J37" s="7">
        <v>59174</v>
      </c>
      <c r="K37" s="7">
        <v>80</v>
      </c>
      <c r="L37" s="1" t="s">
        <v>21</v>
      </c>
      <c r="M37" s="1" t="s">
        <v>22</v>
      </c>
    </row>
    <row r="38" spans="1:13" ht="15.75" customHeight="1">
      <c r="A38" s="1" t="s">
        <v>76</v>
      </c>
      <c r="B38" s="1" t="s">
        <v>24</v>
      </c>
      <c r="C38" s="4">
        <v>45804</v>
      </c>
      <c r="D38" s="1" t="s">
        <v>25</v>
      </c>
      <c r="E38" s="1" t="s">
        <v>20</v>
      </c>
      <c r="F38" s="7">
        <v>4095</v>
      </c>
      <c r="G38" s="7">
        <v>385</v>
      </c>
      <c r="H38" s="7">
        <v>400</v>
      </c>
      <c r="I38" s="7">
        <v>45300</v>
      </c>
      <c r="J38" s="7">
        <v>31795</v>
      </c>
      <c r="K38" s="7">
        <v>80</v>
      </c>
      <c r="L38" s="1" t="s">
        <v>27</v>
      </c>
      <c r="M38" s="1" t="s">
        <v>18</v>
      </c>
    </row>
    <row r="39" spans="1:13" ht="15.75" customHeight="1">
      <c r="A39" s="1" t="s">
        <v>77</v>
      </c>
      <c r="B39" s="1" t="s">
        <v>14</v>
      </c>
      <c r="C39" s="4">
        <v>45545</v>
      </c>
      <c r="D39" s="1" t="s">
        <v>25</v>
      </c>
      <c r="E39" s="1" t="s">
        <v>26</v>
      </c>
      <c r="F39" s="7">
        <v>1230</v>
      </c>
      <c r="G39" s="7">
        <v>309</v>
      </c>
      <c r="H39" s="7">
        <v>207</v>
      </c>
      <c r="I39" s="7">
        <v>44629</v>
      </c>
      <c r="J39" s="7">
        <v>40699</v>
      </c>
      <c r="K39" s="7">
        <v>195</v>
      </c>
      <c r="L39" s="1" t="s">
        <v>41</v>
      </c>
      <c r="M39" s="1" t="s">
        <v>54</v>
      </c>
    </row>
    <row r="40" spans="1:13" ht="15.75" customHeight="1">
      <c r="A40" s="1" t="s">
        <v>78</v>
      </c>
      <c r="B40" s="1" t="s">
        <v>14</v>
      </c>
      <c r="C40" s="4">
        <v>45621</v>
      </c>
      <c r="D40" s="1" t="s">
        <v>15</v>
      </c>
      <c r="E40" s="1" t="s">
        <v>48</v>
      </c>
      <c r="F40" s="7">
        <v>1341</v>
      </c>
      <c r="G40" s="7">
        <v>472</v>
      </c>
      <c r="H40" s="7">
        <v>238</v>
      </c>
      <c r="I40" s="7">
        <v>51386</v>
      </c>
      <c r="J40" s="7">
        <v>51706</v>
      </c>
      <c r="K40" s="7">
        <v>133</v>
      </c>
      <c r="L40" s="1" t="s">
        <v>21</v>
      </c>
      <c r="M40" s="1" t="s">
        <v>22</v>
      </c>
    </row>
    <row r="41" spans="1:13" ht="15.75" customHeight="1">
      <c r="A41" s="1" t="s">
        <v>79</v>
      </c>
      <c r="B41" s="1" t="s">
        <v>24</v>
      </c>
      <c r="C41" s="4">
        <v>45818</v>
      </c>
      <c r="D41" s="1" t="s">
        <v>15</v>
      </c>
      <c r="E41" s="1" t="s">
        <v>20</v>
      </c>
      <c r="F41" s="7">
        <v>3615</v>
      </c>
      <c r="G41" s="7">
        <v>192</v>
      </c>
      <c r="H41" s="7">
        <v>162</v>
      </c>
      <c r="I41" s="7">
        <v>27492</v>
      </c>
      <c r="J41" s="7">
        <v>35341</v>
      </c>
      <c r="K41" s="7">
        <v>125</v>
      </c>
      <c r="L41" s="1" t="s">
        <v>41</v>
      </c>
      <c r="M41" s="1" t="s">
        <v>18</v>
      </c>
    </row>
    <row r="42" spans="1:13" ht="15.75" customHeight="1">
      <c r="A42" s="1" t="s">
        <v>80</v>
      </c>
      <c r="B42" s="1" t="s">
        <v>14</v>
      </c>
      <c r="C42" s="4">
        <v>45401</v>
      </c>
      <c r="D42" s="1" t="s">
        <v>15</v>
      </c>
      <c r="E42" s="1" t="s">
        <v>26</v>
      </c>
      <c r="F42" s="7">
        <v>4001</v>
      </c>
      <c r="G42" s="7">
        <v>353</v>
      </c>
      <c r="H42" s="7">
        <v>129</v>
      </c>
      <c r="I42" s="7">
        <v>41265</v>
      </c>
      <c r="J42" s="7">
        <v>37279</v>
      </c>
      <c r="K42" s="7">
        <v>275</v>
      </c>
      <c r="L42" s="1" t="s">
        <v>17</v>
      </c>
      <c r="M42" s="1" t="s">
        <v>18</v>
      </c>
    </row>
    <row r="43" spans="1:13" ht="15.75" customHeight="1">
      <c r="A43" s="1" t="s">
        <v>81</v>
      </c>
      <c r="B43" s="1" t="s">
        <v>14</v>
      </c>
      <c r="C43" s="4">
        <v>45683</v>
      </c>
      <c r="D43" s="1" t="s">
        <v>25</v>
      </c>
      <c r="E43" s="1" t="s">
        <v>34</v>
      </c>
      <c r="F43" s="7">
        <v>3451</v>
      </c>
      <c r="G43" s="7">
        <v>363</v>
      </c>
      <c r="H43" s="7">
        <v>393</v>
      </c>
      <c r="I43" s="7">
        <v>44853</v>
      </c>
      <c r="J43" s="7">
        <v>69032</v>
      </c>
      <c r="K43" s="7">
        <v>211</v>
      </c>
      <c r="L43" s="1" t="s">
        <v>41</v>
      </c>
      <c r="M43" s="1" t="s">
        <v>54</v>
      </c>
    </row>
    <row r="44" spans="1:13" ht="15.75" customHeight="1">
      <c r="A44" s="1" t="s">
        <v>82</v>
      </c>
      <c r="B44" s="1" t="s">
        <v>14</v>
      </c>
      <c r="C44" s="4">
        <v>45702</v>
      </c>
      <c r="D44" s="1" t="s">
        <v>15</v>
      </c>
      <c r="E44" s="1" t="s">
        <v>40</v>
      </c>
      <c r="F44" s="7">
        <v>4891</v>
      </c>
      <c r="G44" s="7">
        <v>450</v>
      </c>
      <c r="H44" s="7">
        <v>387</v>
      </c>
      <c r="I44" s="7">
        <v>48746</v>
      </c>
      <c r="J44" s="7">
        <v>37312</v>
      </c>
      <c r="K44" s="7">
        <v>154</v>
      </c>
      <c r="L44" s="1" t="s">
        <v>17</v>
      </c>
      <c r="M44" s="1" t="s">
        <v>18</v>
      </c>
    </row>
    <row r="45" spans="1:13" ht="15.75" customHeight="1">
      <c r="A45" s="1" t="s">
        <v>83</v>
      </c>
      <c r="B45" s="1" t="s">
        <v>14</v>
      </c>
      <c r="C45" s="4">
        <v>45541</v>
      </c>
      <c r="D45" s="1" t="s">
        <v>15</v>
      </c>
      <c r="E45" s="1" t="s">
        <v>26</v>
      </c>
      <c r="F45" s="7">
        <v>1452</v>
      </c>
      <c r="G45" s="7">
        <v>281</v>
      </c>
      <c r="H45" s="7">
        <v>326</v>
      </c>
      <c r="I45" s="7">
        <v>51556</v>
      </c>
      <c r="J45" s="7">
        <v>62599</v>
      </c>
      <c r="K45" s="7">
        <v>290</v>
      </c>
      <c r="L45" s="1" t="s">
        <v>21</v>
      </c>
      <c r="M45" s="1" t="s">
        <v>22</v>
      </c>
    </row>
    <row r="46" spans="1:13" ht="15.75" customHeight="1">
      <c r="A46" s="1" t="s">
        <v>84</v>
      </c>
      <c r="B46" s="1" t="s">
        <v>364</v>
      </c>
      <c r="C46" s="4">
        <v>45487</v>
      </c>
      <c r="D46" s="1" t="s">
        <v>15</v>
      </c>
      <c r="E46" s="1" t="s">
        <v>50</v>
      </c>
      <c r="F46" s="7">
        <v>3806</v>
      </c>
      <c r="G46" s="7">
        <v>114</v>
      </c>
      <c r="H46" s="7">
        <v>278</v>
      </c>
      <c r="I46" s="7">
        <v>36148</v>
      </c>
      <c r="J46" s="7">
        <v>24209</v>
      </c>
      <c r="K46" s="7">
        <v>201</v>
      </c>
      <c r="L46" s="1" t="s">
        <v>32</v>
      </c>
      <c r="M46" s="1" t="s">
        <v>22</v>
      </c>
    </row>
    <row r="47" spans="1:13" ht="15.75" customHeight="1">
      <c r="A47" s="1" t="s">
        <v>85</v>
      </c>
      <c r="B47" s="1" t="s">
        <v>14</v>
      </c>
      <c r="C47" s="4">
        <v>45334</v>
      </c>
      <c r="D47" s="1" t="s">
        <v>15</v>
      </c>
      <c r="E47" s="1" t="s">
        <v>20</v>
      </c>
      <c r="F47" s="7">
        <v>2923</v>
      </c>
      <c r="G47" s="7">
        <v>330</v>
      </c>
      <c r="H47" s="7">
        <v>250</v>
      </c>
      <c r="I47" s="7">
        <v>23993</v>
      </c>
      <c r="J47" s="7">
        <v>74590</v>
      </c>
      <c r="K47" s="7">
        <v>92</v>
      </c>
      <c r="L47" s="1" t="s">
        <v>21</v>
      </c>
      <c r="M47" s="1" t="s">
        <v>22</v>
      </c>
    </row>
    <row r="48" spans="1:13" ht="15.75" customHeight="1">
      <c r="A48" s="1" t="s">
        <v>86</v>
      </c>
      <c r="B48" s="1" t="s">
        <v>364</v>
      </c>
      <c r="C48" s="4">
        <v>45365</v>
      </c>
      <c r="D48" s="1" t="s">
        <v>56</v>
      </c>
      <c r="E48" s="1" t="s">
        <v>48</v>
      </c>
      <c r="F48" s="7">
        <v>3361</v>
      </c>
      <c r="G48" s="7">
        <v>188</v>
      </c>
      <c r="H48" s="7">
        <v>358</v>
      </c>
      <c r="I48" s="7">
        <v>39838</v>
      </c>
      <c r="J48" s="7">
        <v>24536</v>
      </c>
      <c r="K48" s="7">
        <v>120</v>
      </c>
      <c r="L48" s="1" t="s">
        <v>57</v>
      </c>
      <c r="M48" s="1" t="s">
        <v>58</v>
      </c>
    </row>
    <row r="49" spans="1:13" ht="15.75" customHeight="1">
      <c r="A49" s="1" t="s">
        <v>87</v>
      </c>
      <c r="B49" s="1" t="s">
        <v>14</v>
      </c>
      <c r="C49" s="4">
        <v>45693</v>
      </c>
      <c r="D49" s="1" t="s">
        <v>25</v>
      </c>
      <c r="E49" s="1" t="s">
        <v>31</v>
      </c>
      <c r="F49" s="7">
        <v>3074</v>
      </c>
      <c r="G49" s="7">
        <v>371</v>
      </c>
      <c r="H49" s="7">
        <v>348</v>
      </c>
      <c r="I49" s="7">
        <v>24104</v>
      </c>
      <c r="J49" s="7">
        <v>57803</v>
      </c>
      <c r="K49" s="7">
        <v>213</v>
      </c>
      <c r="L49" s="1" t="s">
        <v>41</v>
      </c>
      <c r="M49" s="1" t="s">
        <v>54</v>
      </c>
    </row>
    <row r="50" spans="1:13" ht="15.75" customHeight="1">
      <c r="A50" s="1" t="s">
        <v>88</v>
      </c>
      <c r="B50" s="1" t="s">
        <v>24</v>
      </c>
      <c r="C50" s="4">
        <v>45533</v>
      </c>
      <c r="D50" s="1" t="s">
        <v>25</v>
      </c>
      <c r="E50" s="1" t="s">
        <v>36</v>
      </c>
      <c r="F50" s="7">
        <v>4276</v>
      </c>
      <c r="G50" s="7">
        <v>227</v>
      </c>
      <c r="H50" s="7">
        <v>223</v>
      </c>
      <c r="I50" s="7">
        <v>43443</v>
      </c>
      <c r="J50" s="7">
        <v>41005</v>
      </c>
      <c r="K50" s="7">
        <v>191</v>
      </c>
      <c r="L50" s="1" t="s">
        <v>38</v>
      </c>
      <c r="M50" s="1" t="s">
        <v>18</v>
      </c>
    </row>
    <row r="51" spans="1:13" ht="15.75" customHeight="1">
      <c r="A51" s="1" t="s">
        <v>89</v>
      </c>
      <c r="B51" s="1" t="s">
        <v>24</v>
      </c>
      <c r="C51" s="4">
        <v>45769</v>
      </c>
      <c r="D51" s="1" t="s">
        <v>15</v>
      </c>
      <c r="E51" s="1" t="s">
        <v>16</v>
      </c>
      <c r="F51" s="7">
        <v>4401</v>
      </c>
      <c r="G51" s="7">
        <v>421</v>
      </c>
      <c r="H51" s="7">
        <v>216</v>
      </c>
      <c r="I51" s="7">
        <v>24890</v>
      </c>
      <c r="J51" s="7">
        <v>54361</v>
      </c>
      <c r="K51" s="7">
        <v>148</v>
      </c>
      <c r="L51" s="1" t="s">
        <v>41</v>
      </c>
      <c r="M51" s="1" t="s">
        <v>18</v>
      </c>
    </row>
    <row r="52" spans="1:13" ht="15.75" customHeight="1">
      <c r="A52" s="1" t="s">
        <v>90</v>
      </c>
      <c r="B52" s="1" t="s">
        <v>364</v>
      </c>
      <c r="C52" s="4">
        <v>45425</v>
      </c>
      <c r="D52" s="1" t="s">
        <v>56</v>
      </c>
      <c r="E52" s="1" t="s">
        <v>20</v>
      </c>
      <c r="F52" s="7">
        <v>4161</v>
      </c>
      <c r="G52" s="7">
        <v>481</v>
      </c>
      <c r="H52" s="7">
        <v>61</v>
      </c>
      <c r="I52" s="7">
        <v>45884</v>
      </c>
      <c r="J52" s="7">
        <v>48955</v>
      </c>
      <c r="K52" s="7">
        <v>215</v>
      </c>
      <c r="L52" s="1" t="s">
        <v>57</v>
      </c>
      <c r="M52" s="1" t="s">
        <v>58</v>
      </c>
    </row>
    <row r="53" spans="1:13" ht="15.75" customHeight="1">
      <c r="A53" s="1" t="s">
        <v>91</v>
      </c>
      <c r="B53" s="1" t="s">
        <v>24</v>
      </c>
      <c r="C53" s="4">
        <v>45539</v>
      </c>
      <c r="D53" s="1" t="s">
        <v>25</v>
      </c>
      <c r="E53" s="1" t="s">
        <v>26</v>
      </c>
      <c r="F53" s="7">
        <v>2613</v>
      </c>
      <c r="G53" s="7">
        <v>455</v>
      </c>
      <c r="H53" s="7">
        <v>228</v>
      </c>
      <c r="I53" s="7">
        <v>21645</v>
      </c>
      <c r="J53" s="7">
        <v>61334</v>
      </c>
      <c r="K53" s="7">
        <v>261</v>
      </c>
      <c r="L53" s="1" t="s">
        <v>38</v>
      </c>
      <c r="M53" s="1" t="s">
        <v>18</v>
      </c>
    </row>
    <row r="54" spans="1:13" ht="15.75" customHeight="1">
      <c r="A54" s="1" t="s">
        <v>92</v>
      </c>
      <c r="B54" s="1" t="s">
        <v>24</v>
      </c>
      <c r="C54" s="4">
        <v>45516</v>
      </c>
      <c r="D54" s="1" t="s">
        <v>25</v>
      </c>
      <c r="E54" s="1" t="s">
        <v>34</v>
      </c>
      <c r="F54" s="7">
        <v>2842</v>
      </c>
      <c r="G54" s="7">
        <v>213</v>
      </c>
      <c r="H54" s="7">
        <v>331</v>
      </c>
      <c r="I54" s="7">
        <v>57660</v>
      </c>
      <c r="J54" s="7">
        <v>68606</v>
      </c>
      <c r="K54" s="7">
        <v>87</v>
      </c>
      <c r="L54" s="1" t="s">
        <v>27</v>
      </c>
      <c r="M54" s="1" t="s">
        <v>18</v>
      </c>
    </row>
    <row r="55" spans="1:13" ht="15.75" customHeight="1">
      <c r="A55" s="1" t="s">
        <v>93</v>
      </c>
      <c r="B55" s="1" t="s">
        <v>14</v>
      </c>
      <c r="C55" s="4">
        <v>45722</v>
      </c>
      <c r="D55" s="1" t="s">
        <v>15</v>
      </c>
      <c r="E55" s="1" t="s">
        <v>36</v>
      </c>
      <c r="F55" s="7">
        <v>4851</v>
      </c>
      <c r="G55" s="7">
        <v>460</v>
      </c>
      <c r="H55" s="7">
        <v>212</v>
      </c>
      <c r="I55" s="7">
        <v>58075</v>
      </c>
      <c r="J55" s="7">
        <v>59574</v>
      </c>
      <c r="K55" s="7">
        <v>239</v>
      </c>
      <c r="L55" s="1" t="s">
        <v>21</v>
      </c>
      <c r="M55" s="1" t="s">
        <v>22</v>
      </c>
    </row>
    <row r="56" spans="1:13" ht="15.75" customHeight="1">
      <c r="A56" s="1" t="s">
        <v>94</v>
      </c>
      <c r="B56" s="1" t="s">
        <v>24</v>
      </c>
      <c r="C56" s="4">
        <v>45420</v>
      </c>
      <c r="D56" s="1" t="s">
        <v>15</v>
      </c>
      <c r="E56" s="1" t="s">
        <v>20</v>
      </c>
      <c r="F56" s="7">
        <v>1828</v>
      </c>
      <c r="G56" s="7">
        <v>450</v>
      </c>
      <c r="H56" s="7">
        <v>214</v>
      </c>
      <c r="I56" s="7">
        <v>52115</v>
      </c>
      <c r="J56" s="7">
        <v>19166</v>
      </c>
      <c r="K56" s="7">
        <v>190</v>
      </c>
      <c r="L56" s="1" t="s">
        <v>41</v>
      </c>
      <c r="M56" s="1" t="s">
        <v>18</v>
      </c>
    </row>
    <row r="57" spans="1:13" ht="15.75" customHeight="1">
      <c r="A57" s="1" t="s">
        <v>95</v>
      </c>
      <c r="B57" s="1" t="s">
        <v>14</v>
      </c>
      <c r="C57" s="4">
        <v>45707</v>
      </c>
      <c r="D57" s="1" t="s">
        <v>25</v>
      </c>
      <c r="E57" s="1" t="s">
        <v>48</v>
      </c>
      <c r="F57" s="7">
        <v>2422</v>
      </c>
      <c r="G57" s="7">
        <v>455</v>
      </c>
      <c r="H57" s="7">
        <v>376</v>
      </c>
      <c r="I57" s="7">
        <v>23428</v>
      </c>
      <c r="J57" s="7">
        <v>46775</v>
      </c>
      <c r="K57" s="7">
        <v>259</v>
      </c>
      <c r="L57" s="1" t="s">
        <v>41</v>
      </c>
      <c r="M57" s="1" t="s">
        <v>54</v>
      </c>
    </row>
    <row r="58" spans="1:13" ht="15.75" customHeight="1">
      <c r="A58" s="1" t="s">
        <v>96</v>
      </c>
      <c r="B58" s="1" t="s">
        <v>14</v>
      </c>
      <c r="C58" s="4">
        <v>45299</v>
      </c>
      <c r="D58" s="1" t="s">
        <v>15</v>
      </c>
      <c r="E58" s="1" t="s">
        <v>40</v>
      </c>
      <c r="F58" s="7">
        <v>2683</v>
      </c>
      <c r="G58" s="7">
        <v>405</v>
      </c>
      <c r="H58" s="7">
        <v>223</v>
      </c>
      <c r="I58" s="7">
        <v>31233</v>
      </c>
      <c r="J58" s="7">
        <v>58106</v>
      </c>
      <c r="K58" s="7">
        <v>291</v>
      </c>
      <c r="L58" s="1" t="s">
        <v>21</v>
      </c>
      <c r="M58" s="1" t="s">
        <v>22</v>
      </c>
    </row>
    <row r="59" spans="1:13" ht="15.75" customHeight="1">
      <c r="A59" s="1" t="s">
        <v>97</v>
      </c>
      <c r="B59" s="1" t="s">
        <v>364</v>
      </c>
      <c r="C59" s="4">
        <v>45490</v>
      </c>
      <c r="D59" s="1" t="s">
        <v>15</v>
      </c>
      <c r="E59" s="1" t="s">
        <v>40</v>
      </c>
      <c r="F59" s="7">
        <v>3135</v>
      </c>
      <c r="G59" s="7">
        <v>110</v>
      </c>
      <c r="H59" s="7">
        <v>215</v>
      </c>
      <c r="I59" s="7">
        <v>39192</v>
      </c>
      <c r="J59" s="7">
        <v>24744</v>
      </c>
      <c r="K59" s="7">
        <v>177</v>
      </c>
      <c r="L59" s="1" t="s">
        <v>32</v>
      </c>
      <c r="M59" s="1" t="s">
        <v>22</v>
      </c>
    </row>
    <row r="60" spans="1:13" ht="15.75" customHeight="1">
      <c r="A60" s="1" t="s">
        <v>98</v>
      </c>
      <c r="B60" s="1" t="s">
        <v>364</v>
      </c>
      <c r="C60" s="4">
        <v>45514</v>
      </c>
      <c r="D60" s="1" t="s">
        <v>15</v>
      </c>
      <c r="E60" s="1" t="s">
        <v>48</v>
      </c>
      <c r="F60" s="7">
        <v>1105</v>
      </c>
      <c r="G60" s="7">
        <v>181</v>
      </c>
      <c r="H60" s="7">
        <v>55</v>
      </c>
      <c r="I60" s="7">
        <v>53581</v>
      </c>
      <c r="J60" s="7">
        <v>74048</v>
      </c>
      <c r="K60" s="7">
        <v>220</v>
      </c>
      <c r="L60" s="1" t="s">
        <v>32</v>
      </c>
      <c r="M60" s="1" t="s">
        <v>22</v>
      </c>
    </row>
    <row r="61" spans="1:13" ht="15.75" customHeight="1">
      <c r="A61" s="1" t="s">
        <v>99</v>
      </c>
      <c r="B61" s="1" t="s">
        <v>364</v>
      </c>
      <c r="C61" s="4">
        <v>45398</v>
      </c>
      <c r="D61" s="1" t="s">
        <v>15</v>
      </c>
      <c r="E61" s="1" t="s">
        <v>16</v>
      </c>
      <c r="F61" s="7">
        <v>4674</v>
      </c>
      <c r="G61" s="7">
        <v>326</v>
      </c>
      <c r="H61" s="7">
        <v>62</v>
      </c>
      <c r="I61" s="7">
        <v>45503</v>
      </c>
      <c r="J61" s="7">
        <v>46814</v>
      </c>
      <c r="K61" s="7">
        <v>116</v>
      </c>
      <c r="L61" s="1" t="s">
        <v>32</v>
      </c>
      <c r="M61" s="1" t="s">
        <v>22</v>
      </c>
    </row>
    <row r="62" spans="1:13" ht="15.75" customHeight="1">
      <c r="A62" s="1" t="s">
        <v>100</v>
      </c>
      <c r="B62" s="1" t="s">
        <v>364</v>
      </c>
      <c r="C62" s="4">
        <v>45292</v>
      </c>
      <c r="D62" s="1" t="s">
        <v>56</v>
      </c>
      <c r="E62" s="1" t="s">
        <v>20</v>
      </c>
      <c r="F62" s="7">
        <v>3437</v>
      </c>
      <c r="G62" s="7">
        <v>129</v>
      </c>
      <c r="H62" s="7">
        <v>359</v>
      </c>
      <c r="I62" s="7">
        <v>44558</v>
      </c>
      <c r="J62" s="7">
        <v>30854</v>
      </c>
      <c r="K62" s="7">
        <v>171</v>
      </c>
      <c r="L62" s="1" t="s">
        <v>57</v>
      </c>
      <c r="M62" s="1" t="s">
        <v>58</v>
      </c>
    </row>
    <row r="63" spans="1:13" ht="15.75" customHeight="1">
      <c r="A63" s="1" t="s">
        <v>101</v>
      </c>
      <c r="B63" s="1" t="s">
        <v>24</v>
      </c>
      <c r="C63" s="4">
        <v>45599</v>
      </c>
      <c r="D63" s="1" t="s">
        <v>25</v>
      </c>
      <c r="E63" s="1" t="s">
        <v>29</v>
      </c>
      <c r="F63" s="7">
        <v>1959</v>
      </c>
      <c r="G63" s="7">
        <v>316</v>
      </c>
      <c r="H63" s="7">
        <v>82</v>
      </c>
      <c r="I63" s="7">
        <v>54036</v>
      </c>
      <c r="J63" s="7">
        <v>69015</v>
      </c>
      <c r="K63" s="7">
        <v>182</v>
      </c>
      <c r="L63" s="1" t="s">
        <v>27</v>
      </c>
      <c r="M63" s="1" t="s">
        <v>18</v>
      </c>
    </row>
    <row r="64" spans="1:13" ht="15.75" customHeight="1">
      <c r="A64" s="1" t="s">
        <v>102</v>
      </c>
      <c r="B64" s="1" t="s">
        <v>24</v>
      </c>
      <c r="C64" s="4">
        <v>45480</v>
      </c>
      <c r="D64" s="1" t="s">
        <v>15</v>
      </c>
      <c r="E64" s="1" t="s">
        <v>26</v>
      </c>
      <c r="F64" s="7">
        <v>1035</v>
      </c>
      <c r="G64" s="7">
        <v>137</v>
      </c>
      <c r="H64" s="7">
        <v>184</v>
      </c>
      <c r="I64" s="7">
        <v>37302</v>
      </c>
      <c r="J64" s="7">
        <v>68953</v>
      </c>
      <c r="K64" s="7">
        <v>237</v>
      </c>
      <c r="L64" s="1" t="s">
        <v>44</v>
      </c>
      <c r="M64" s="1" t="s">
        <v>22</v>
      </c>
    </row>
    <row r="65" spans="1:13" ht="15.75" customHeight="1">
      <c r="A65" s="1" t="s">
        <v>103</v>
      </c>
      <c r="B65" s="1" t="s">
        <v>24</v>
      </c>
      <c r="C65" s="4">
        <v>45679</v>
      </c>
      <c r="D65" s="1" t="s">
        <v>25</v>
      </c>
      <c r="E65" s="1" t="s">
        <v>26</v>
      </c>
      <c r="F65" s="7">
        <v>4478</v>
      </c>
      <c r="G65" s="7">
        <v>101</v>
      </c>
      <c r="H65" s="7">
        <v>121</v>
      </c>
      <c r="I65" s="7">
        <v>51035</v>
      </c>
      <c r="J65" s="7">
        <v>58207</v>
      </c>
      <c r="K65" s="7">
        <v>205</v>
      </c>
      <c r="L65" s="1" t="s">
        <v>27</v>
      </c>
      <c r="M65" s="1" t="s">
        <v>18</v>
      </c>
    </row>
    <row r="66" spans="1:13" ht="15.75" customHeight="1">
      <c r="A66" s="1" t="s">
        <v>104</v>
      </c>
      <c r="B66" s="1" t="s">
        <v>364</v>
      </c>
      <c r="C66" s="4">
        <v>45438</v>
      </c>
      <c r="D66" s="1" t="s">
        <v>15</v>
      </c>
      <c r="E66" s="1" t="s">
        <v>48</v>
      </c>
      <c r="F66" s="7">
        <v>1488</v>
      </c>
      <c r="G66" s="7">
        <v>327</v>
      </c>
      <c r="H66" s="7">
        <v>110</v>
      </c>
      <c r="I66" s="7">
        <v>53805</v>
      </c>
      <c r="J66" s="7">
        <v>30239</v>
      </c>
      <c r="K66" s="7">
        <v>109</v>
      </c>
      <c r="L66" s="1" t="s">
        <v>32</v>
      </c>
      <c r="M66" s="1" t="s">
        <v>22</v>
      </c>
    </row>
    <row r="67" spans="1:13" ht="15.75" customHeight="1">
      <c r="A67" s="1" t="s">
        <v>105</v>
      </c>
      <c r="B67" s="1" t="s">
        <v>14</v>
      </c>
      <c r="C67" s="4">
        <v>45763</v>
      </c>
      <c r="D67" s="1" t="s">
        <v>15</v>
      </c>
      <c r="E67" s="1" t="s">
        <v>29</v>
      </c>
      <c r="F67" s="7">
        <v>4836</v>
      </c>
      <c r="G67" s="7">
        <v>331</v>
      </c>
      <c r="H67" s="7">
        <v>140</v>
      </c>
      <c r="I67" s="7">
        <v>58792</v>
      </c>
      <c r="J67" s="7">
        <v>47711</v>
      </c>
      <c r="K67" s="7">
        <v>227</v>
      </c>
      <c r="L67" s="1" t="s">
        <v>17</v>
      </c>
      <c r="M67" s="1" t="s">
        <v>18</v>
      </c>
    </row>
    <row r="68" spans="1:13" ht="15.75" customHeight="1">
      <c r="A68" s="1" t="s">
        <v>106</v>
      </c>
      <c r="B68" s="1" t="s">
        <v>364</v>
      </c>
      <c r="C68" s="4">
        <v>45384</v>
      </c>
      <c r="D68" s="1" t="s">
        <v>56</v>
      </c>
      <c r="E68" s="1" t="s">
        <v>50</v>
      </c>
      <c r="F68" s="7">
        <v>4563</v>
      </c>
      <c r="G68" s="7">
        <v>488</v>
      </c>
      <c r="H68" s="7">
        <v>356</v>
      </c>
      <c r="I68" s="7">
        <v>30619</v>
      </c>
      <c r="J68" s="7">
        <v>23328</v>
      </c>
      <c r="K68" s="7">
        <v>267</v>
      </c>
      <c r="L68" s="1" t="s">
        <v>57</v>
      </c>
      <c r="M68" s="1" t="s">
        <v>58</v>
      </c>
    </row>
    <row r="69" spans="1:13" ht="15.75" customHeight="1">
      <c r="A69" s="1" t="s">
        <v>107</v>
      </c>
      <c r="B69" s="1" t="s">
        <v>24</v>
      </c>
      <c r="C69" s="4">
        <v>45379</v>
      </c>
      <c r="D69" s="1" t="s">
        <v>15</v>
      </c>
      <c r="E69" s="1" t="s">
        <v>31</v>
      </c>
      <c r="F69" s="7">
        <v>3276</v>
      </c>
      <c r="G69" s="7">
        <v>421</v>
      </c>
      <c r="H69" s="7">
        <v>114</v>
      </c>
      <c r="I69" s="7">
        <v>20580</v>
      </c>
      <c r="J69" s="7">
        <v>30324</v>
      </c>
      <c r="K69" s="7">
        <v>221</v>
      </c>
      <c r="L69" s="1" t="s">
        <v>44</v>
      </c>
      <c r="M69" s="1" t="s">
        <v>22</v>
      </c>
    </row>
    <row r="70" spans="1:13" ht="15.75" customHeight="1">
      <c r="A70" s="1" t="s">
        <v>108</v>
      </c>
      <c r="B70" s="1" t="s">
        <v>24</v>
      </c>
      <c r="C70" s="4">
        <v>45643</v>
      </c>
      <c r="D70" s="1" t="s">
        <v>25</v>
      </c>
      <c r="E70" s="1" t="s">
        <v>31</v>
      </c>
      <c r="F70" s="7">
        <v>1316</v>
      </c>
      <c r="G70" s="7">
        <v>472</v>
      </c>
      <c r="H70" s="7">
        <v>286</v>
      </c>
      <c r="I70" s="7">
        <v>44692</v>
      </c>
      <c r="J70" s="7">
        <v>53343</v>
      </c>
      <c r="K70" s="7">
        <v>227</v>
      </c>
      <c r="L70" s="1" t="s">
        <v>38</v>
      </c>
      <c r="M70" s="1" t="s">
        <v>18</v>
      </c>
    </row>
    <row r="71" spans="1:13" ht="15.75" customHeight="1">
      <c r="A71" s="1" t="s">
        <v>109</v>
      </c>
      <c r="B71" s="1" t="s">
        <v>24</v>
      </c>
      <c r="C71" s="4">
        <v>45662</v>
      </c>
      <c r="D71" s="1" t="s">
        <v>15</v>
      </c>
      <c r="E71" s="1" t="s">
        <v>29</v>
      </c>
      <c r="F71" s="7">
        <v>4811</v>
      </c>
      <c r="G71" s="7">
        <v>473</v>
      </c>
      <c r="H71" s="7">
        <v>254</v>
      </c>
      <c r="I71" s="7">
        <v>51964</v>
      </c>
      <c r="J71" s="7">
        <v>68795</v>
      </c>
      <c r="K71" s="7">
        <v>107</v>
      </c>
      <c r="L71" s="1" t="s">
        <v>41</v>
      </c>
      <c r="M71" s="1" t="s">
        <v>18</v>
      </c>
    </row>
    <row r="72" spans="1:13" ht="15.75" customHeight="1">
      <c r="A72" s="1" t="s">
        <v>110</v>
      </c>
      <c r="B72" s="1" t="s">
        <v>24</v>
      </c>
      <c r="C72" s="4">
        <v>45302</v>
      </c>
      <c r="D72" s="1" t="s">
        <v>15</v>
      </c>
      <c r="E72" s="1" t="s">
        <v>34</v>
      </c>
      <c r="F72" s="7">
        <v>4218</v>
      </c>
      <c r="G72" s="7">
        <v>247</v>
      </c>
      <c r="H72" s="7">
        <v>183</v>
      </c>
      <c r="I72" s="7">
        <v>28914</v>
      </c>
      <c r="J72" s="7">
        <v>18310</v>
      </c>
      <c r="K72" s="7">
        <v>135</v>
      </c>
      <c r="L72" s="1" t="s">
        <v>44</v>
      </c>
      <c r="M72" s="1" t="s">
        <v>22</v>
      </c>
    </row>
    <row r="73" spans="1:13" ht="15.75" customHeight="1">
      <c r="A73" s="1" t="s">
        <v>111</v>
      </c>
      <c r="B73" s="1" t="s">
        <v>14</v>
      </c>
      <c r="C73" s="4">
        <v>45576</v>
      </c>
      <c r="D73" s="1" t="s">
        <v>15</v>
      </c>
      <c r="E73" s="1" t="s">
        <v>48</v>
      </c>
      <c r="F73" s="7">
        <v>1360</v>
      </c>
      <c r="G73" s="7">
        <v>249</v>
      </c>
      <c r="H73" s="7">
        <v>52</v>
      </c>
      <c r="I73" s="7">
        <v>20368</v>
      </c>
      <c r="J73" s="7">
        <v>42152</v>
      </c>
      <c r="K73" s="7">
        <v>193</v>
      </c>
      <c r="L73" s="1" t="s">
        <v>21</v>
      </c>
      <c r="M73" s="1" t="s">
        <v>22</v>
      </c>
    </row>
    <row r="74" spans="1:13" ht="15.75" customHeight="1">
      <c r="A74" s="1" t="s">
        <v>112</v>
      </c>
      <c r="B74" s="1" t="s">
        <v>364</v>
      </c>
      <c r="C74" s="4">
        <v>45783</v>
      </c>
      <c r="D74" s="1" t="s">
        <v>56</v>
      </c>
      <c r="E74" s="1" t="s">
        <v>16</v>
      </c>
      <c r="F74" s="7">
        <v>1085</v>
      </c>
      <c r="G74" s="7">
        <v>496</v>
      </c>
      <c r="H74" s="7">
        <v>320</v>
      </c>
      <c r="I74" s="7">
        <v>36528</v>
      </c>
      <c r="J74" s="7">
        <v>38599</v>
      </c>
      <c r="K74" s="7">
        <v>270</v>
      </c>
      <c r="L74" s="1" t="s">
        <v>57</v>
      </c>
      <c r="M74" s="1" t="s">
        <v>58</v>
      </c>
    </row>
    <row r="75" spans="1:13" ht="15.75" customHeight="1">
      <c r="A75" s="1" t="s">
        <v>113</v>
      </c>
      <c r="B75" s="1" t="s">
        <v>24</v>
      </c>
      <c r="C75" s="4">
        <v>45431</v>
      </c>
      <c r="D75" s="1" t="s">
        <v>25</v>
      </c>
      <c r="E75" s="1" t="s">
        <v>36</v>
      </c>
      <c r="F75" s="7">
        <v>1763</v>
      </c>
      <c r="G75" s="7">
        <v>206</v>
      </c>
      <c r="H75" s="7">
        <v>187</v>
      </c>
      <c r="I75" s="7">
        <v>53342</v>
      </c>
      <c r="J75" s="7">
        <v>25095</v>
      </c>
      <c r="K75" s="7">
        <v>88</v>
      </c>
      <c r="L75" s="1" t="s">
        <v>38</v>
      </c>
      <c r="M75" s="1" t="s">
        <v>18</v>
      </c>
    </row>
    <row r="76" spans="1:13" ht="15.75" customHeight="1">
      <c r="A76" s="1" t="s">
        <v>114</v>
      </c>
      <c r="B76" s="1" t="s">
        <v>24</v>
      </c>
      <c r="C76" s="4">
        <v>45313</v>
      </c>
      <c r="D76" s="1" t="s">
        <v>25</v>
      </c>
      <c r="E76" s="1" t="s">
        <v>48</v>
      </c>
      <c r="F76" s="7">
        <v>1554</v>
      </c>
      <c r="G76" s="7">
        <v>455</v>
      </c>
      <c r="H76" s="7">
        <v>158</v>
      </c>
      <c r="I76" s="7">
        <v>41947</v>
      </c>
      <c r="J76" s="7">
        <v>48578</v>
      </c>
      <c r="K76" s="7">
        <v>101</v>
      </c>
      <c r="L76" s="1" t="s">
        <v>17</v>
      </c>
      <c r="M76" s="1" t="s">
        <v>18</v>
      </c>
    </row>
    <row r="77" spans="1:13" ht="15.75" customHeight="1">
      <c r="A77" s="1" t="s">
        <v>115</v>
      </c>
      <c r="B77" s="1" t="s">
        <v>14</v>
      </c>
      <c r="C77" s="4">
        <v>45487</v>
      </c>
      <c r="D77" s="1" t="s">
        <v>15</v>
      </c>
      <c r="E77" s="1" t="s">
        <v>29</v>
      </c>
      <c r="F77" s="7">
        <v>2464</v>
      </c>
      <c r="G77" s="7">
        <v>401</v>
      </c>
      <c r="H77" s="7">
        <v>78</v>
      </c>
      <c r="I77" s="7">
        <v>38665</v>
      </c>
      <c r="J77" s="7">
        <v>73593</v>
      </c>
      <c r="K77" s="7">
        <v>207</v>
      </c>
      <c r="L77" s="1" t="s">
        <v>21</v>
      </c>
      <c r="M77" s="1" t="s">
        <v>22</v>
      </c>
    </row>
    <row r="78" spans="1:13" ht="15.75" customHeight="1">
      <c r="A78" s="1" t="s">
        <v>116</v>
      </c>
      <c r="B78" s="1" t="s">
        <v>24</v>
      </c>
      <c r="C78" s="4">
        <v>45805</v>
      </c>
      <c r="D78" s="1" t="s">
        <v>15</v>
      </c>
      <c r="E78" s="1" t="s">
        <v>48</v>
      </c>
      <c r="F78" s="7">
        <v>2418</v>
      </c>
      <c r="G78" s="7">
        <v>161</v>
      </c>
      <c r="H78" s="7">
        <v>360</v>
      </c>
      <c r="I78" s="7">
        <v>30589</v>
      </c>
      <c r="J78" s="7">
        <v>41383</v>
      </c>
      <c r="K78" s="7">
        <v>88</v>
      </c>
      <c r="L78" s="1" t="s">
        <v>41</v>
      </c>
      <c r="M78" s="1" t="s">
        <v>18</v>
      </c>
    </row>
    <row r="79" spans="1:13" ht="15.75" customHeight="1">
      <c r="A79" s="1" t="s">
        <v>117</v>
      </c>
      <c r="B79" s="1" t="s">
        <v>24</v>
      </c>
      <c r="C79" s="4">
        <v>45678</v>
      </c>
      <c r="D79" s="1" t="s">
        <v>25</v>
      </c>
      <c r="E79" s="1" t="s">
        <v>16</v>
      </c>
      <c r="F79" s="7">
        <v>2494</v>
      </c>
      <c r="G79" s="7">
        <v>494</v>
      </c>
      <c r="H79" s="7">
        <v>55</v>
      </c>
      <c r="I79" s="7">
        <v>22580</v>
      </c>
      <c r="J79" s="7">
        <v>22214</v>
      </c>
      <c r="K79" s="7">
        <v>109</v>
      </c>
      <c r="L79" s="1" t="s">
        <v>27</v>
      </c>
      <c r="M79" s="1" t="s">
        <v>18</v>
      </c>
    </row>
    <row r="80" spans="1:13" ht="15.75" customHeight="1">
      <c r="A80" s="1" t="s">
        <v>118</v>
      </c>
      <c r="B80" s="1" t="s">
        <v>364</v>
      </c>
      <c r="C80" s="4">
        <v>45304</v>
      </c>
      <c r="D80" s="1" t="s">
        <v>56</v>
      </c>
      <c r="E80" s="1" t="s">
        <v>26</v>
      </c>
      <c r="F80" s="7">
        <v>4781</v>
      </c>
      <c r="G80" s="7">
        <v>191</v>
      </c>
      <c r="H80" s="7">
        <v>122</v>
      </c>
      <c r="I80" s="7">
        <v>35535</v>
      </c>
      <c r="J80" s="7">
        <v>50777</v>
      </c>
      <c r="K80" s="7">
        <v>128</v>
      </c>
      <c r="L80" s="1" t="s">
        <v>57</v>
      </c>
      <c r="M80" s="1" t="s">
        <v>58</v>
      </c>
    </row>
    <row r="81" spans="1:13" ht="15.75" customHeight="1">
      <c r="A81" s="1" t="s">
        <v>119</v>
      </c>
      <c r="B81" s="1" t="s">
        <v>14</v>
      </c>
      <c r="C81" s="4">
        <v>45825</v>
      </c>
      <c r="D81" s="1" t="s">
        <v>15</v>
      </c>
      <c r="E81" s="1" t="s">
        <v>31</v>
      </c>
      <c r="F81" s="7">
        <v>2284</v>
      </c>
      <c r="G81" s="7">
        <v>187</v>
      </c>
      <c r="H81" s="7">
        <v>260</v>
      </c>
      <c r="I81" s="7">
        <v>37400</v>
      </c>
      <c r="J81" s="7">
        <v>65014</v>
      </c>
      <c r="K81" s="7">
        <v>157</v>
      </c>
      <c r="L81" s="1" t="s">
        <v>17</v>
      </c>
      <c r="M81" s="1" t="s">
        <v>18</v>
      </c>
    </row>
    <row r="82" spans="1:13" ht="15.75" customHeight="1">
      <c r="A82" s="1" t="s">
        <v>120</v>
      </c>
      <c r="B82" s="1" t="s">
        <v>24</v>
      </c>
      <c r="C82" s="4">
        <v>45723</v>
      </c>
      <c r="D82" s="1" t="s">
        <v>15</v>
      </c>
      <c r="E82" s="1" t="s">
        <v>36</v>
      </c>
      <c r="F82" s="7">
        <v>4234</v>
      </c>
      <c r="G82" s="7">
        <v>486</v>
      </c>
      <c r="H82" s="7">
        <v>276</v>
      </c>
      <c r="I82" s="7">
        <v>56623</v>
      </c>
      <c r="J82" s="7">
        <v>41343</v>
      </c>
      <c r="K82" s="7">
        <v>184</v>
      </c>
      <c r="L82" s="1" t="s">
        <v>44</v>
      </c>
      <c r="M82" s="1" t="s">
        <v>22</v>
      </c>
    </row>
    <row r="83" spans="1:13" ht="15.75" customHeight="1">
      <c r="A83" s="1" t="s">
        <v>121</v>
      </c>
      <c r="B83" s="1" t="s">
        <v>14</v>
      </c>
      <c r="C83" s="4">
        <v>45530</v>
      </c>
      <c r="D83" s="1" t="s">
        <v>15</v>
      </c>
      <c r="E83" s="1" t="s">
        <v>50</v>
      </c>
      <c r="F83" s="7">
        <v>2102</v>
      </c>
      <c r="G83" s="7">
        <v>181</v>
      </c>
      <c r="H83" s="7">
        <v>306</v>
      </c>
      <c r="I83" s="7">
        <v>43650</v>
      </c>
      <c r="J83" s="7">
        <v>50079</v>
      </c>
      <c r="K83" s="7">
        <v>182</v>
      </c>
      <c r="L83" s="1" t="s">
        <v>21</v>
      </c>
      <c r="M83" s="1" t="s">
        <v>22</v>
      </c>
    </row>
    <row r="84" spans="1:13" ht="15.75" customHeight="1">
      <c r="A84" s="1" t="s">
        <v>122</v>
      </c>
      <c r="B84" s="1" t="s">
        <v>24</v>
      </c>
      <c r="C84" s="4">
        <v>45660</v>
      </c>
      <c r="D84" s="1" t="s">
        <v>25</v>
      </c>
      <c r="E84" s="1" t="s">
        <v>36</v>
      </c>
      <c r="F84" s="7">
        <v>4845</v>
      </c>
      <c r="G84" s="7">
        <v>158</v>
      </c>
      <c r="H84" s="7">
        <v>84</v>
      </c>
      <c r="I84" s="7">
        <v>34578</v>
      </c>
      <c r="J84" s="7">
        <v>51480</v>
      </c>
      <c r="K84" s="7">
        <v>180</v>
      </c>
      <c r="L84" s="1" t="s">
        <v>17</v>
      </c>
      <c r="M84" s="1" t="s">
        <v>18</v>
      </c>
    </row>
    <row r="85" spans="1:13" ht="15.75" customHeight="1">
      <c r="A85" s="1" t="s">
        <v>123</v>
      </c>
      <c r="B85" s="1" t="s">
        <v>24</v>
      </c>
      <c r="C85" s="4">
        <v>45507</v>
      </c>
      <c r="D85" s="1" t="s">
        <v>15</v>
      </c>
      <c r="E85" s="1" t="s">
        <v>50</v>
      </c>
      <c r="F85" s="7">
        <v>4247</v>
      </c>
      <c r="G85" s="7">
        <v>390</v>
      </c>
      <c r="H85" s="7">
        <v>213</v>
      </c>
      <c r="I85" s="7">
        <v>29785</v>
      </c>
      <c r="J85" s="7">
        <v>57768</v>
      </c>
      <c r="K85" s="7">
        <v>122</v>
      </c>
      <c r="L85" s="1" t="s">
        <v>41</v>
      </c>
      <c r="M85" s="1" t="s">
        <v>18</v>
      </c>
    </row>
    <row r="86" spans="1:13" ht="15.75" customHeight="1">
      <c r="A86" s="1" t="s">
        <v>124</v>
      </c>
      <c r="B86" s="1" t="s">
        <v>14</v>
      </c>
      <c r="C86" s="4">
        <v>45522</v>
      </c>
      <c r="D86" s="1" t="s">
        <v>15</v>
      </c>
      <c r="E86" s="1" t="s">
        <v>20</v>
      </c>
      <c r="F86" s="7">
        <v>2965</v>
      </c>
      <c r="G86" s="7">
        <v>328</v>
      </c>
      <c r="H86" s="7">
        <v>171</v>
      </c>
      <c r="I86" s="7">
        <v>57685</v>
      </c>
      <c r="J86" s="7">
        <v>67536</v>
      </c>
      <c r="K86" s="7">
        <v>264</v>
      </c>
      <c r="L86" s="1" t="s">
        <v>17</v>
      </c>
      <c r="M86" s="1" t="s">
        <v>18</v>
      </c>
    </row>
    <row r="87" spans="1:13" ht="15.75" customHeight="1">
      <c r="A87" s="1" t="s">
        <v>125</v>
      </c>
      <c r="B87" s="1" t="s">
        <v>24</v>
      </c>
      <c r="C87" s="4">
        <v>45791</v>
      </c>
      <c r="D87" s="1" t="s">
        <v>25</v>
      </c>
      <c r="E87" s="1" t="s">
        <v>29</v>
      </c>
      <c r="F87" s="7">
        <v>1371</v>
      </c>
      <c r="G87" s="7">
        <v>139</v>
      </c>
      <c r="H87" s="7">
        <v>96</v>
      </c>
      <c r="I87" s="7">
        <v>36140</v>
      </c>
      <c r="J87" s="7">
        <v>39395</v>
      </c>
      <c r="K87" s="7">
        <v>169</v>
      </c>
      <c r="L87" s="1" t="s">
        <v>17</v>
      </c>
      <c r="M87" s="1" t="s">
        <v>18</v>
      </c>
    </row>
    <row r="88" spans="1:13" ht="15.75" customHeight="1">
      <c r="A88" s="1" t="s">
        <v>126</v>
      </c>
      <c r="B88" s="1" t="s">
        <v>24</v>
      </c>
      <c r="C88" s="4">
        <v>45405</v>
      </c>
      <c r="D88" s="1" t="s">
        <v>25</v>
      </c>
      <c r="E88" s="1" t="s">
        <v>16</v>
      </c>
      <c r="F88" s="7">
        <v>2683</v>
      </c>
      <c r="G88" s="7">
        <v>496</v>
      </c>
      <c r="H88" s="7">
        <v>89</v>
      </c>
      <c r="I88" s="7">
        <v>53435</v>
      </c>
      <c r="J88" s="7">
        <v>30334</v>
      </c>
      <c r="K88" s="7">
        <v>160</v>
      </c>
      <c r="L88" s="1" t="s">
        <v>17</v>
      </c>
      <c r="M88" s="1" t="s">
        <v>18</v>
      </c>
    </row>
    <row r="89" spans="1:13" ht="15.75" customHeight="1">
      <c r="A89" s="1" t="s">
        <v>127</v>
      </c>
      <c r="B89" s="1" t="s">
        <v>24</v>
      </c>
      <c r="C89" s="4">
        <v>45705</v>
      </c>
      <c r="D89" s="1" t="s">
        <v>25</v>
      </c>
      <c r="E89" s="1" t="s">
        <v>34</v>
      </c>
      <c r="F89" s="7">
        <v>4796</v>
      </c>
      <c r="G89" s="7">
        <v>427</v>
      </c>
      <c r="H89" s="7">
        <v>339</v>
      </c>
      <c r="I89" s="7">
        <v>30752</v>
      </c>
      <c r="J89" s="7">
        <v>33870</v>
      </c>
      <c r="K89" s="7">
        <v>298</v>
      </c>
      <c r="L89" s="1" t="s">
        <v>17</v>
      </c>
      <c r="M89" s="1" t="s">
        <v>18</v>
      </c>
    </row>
    <row r="90" spans="1:13" ht="15.75" customHeight="1">
      <c r="A90" s="1" t="s">
        <v>128</v>
      </c>
      <c r="B90" s="1" t="s">
        <v>14</v>
      </c>
      <c r="C90" s="4">
        <v>45630</v>
      </c>
      <c r="D90" s="1" t="s">
        <v>15</v>
      </c>
      <c r="E90" s="1" t="s">
        <v>29</v>
      </c>
      <c r="F90" s="7">
        <v>2601</v>
      </c>
      <c r="G90" s="7">
        <v>336</v>
      </c>
      <c r="H90" s="7">
        <v>260</v>
      </c>
      <c r="I90" s="7">
        <v>32368</v>
      </c>
      <c r="J90" s="7">
        <v>49028</v>
      </c>
      <c r="K90" s="7">
        <v>120</v>
      </c>
      <c r="L90" s="1" t="s">
        <v>17</v>
      </c>
      <c r="M90" s="1" t="s">
        <v>18</v>
      </c>
    </row>
    <row r="91" spans="1:13" ht="15.75" customHeight="1">
      <c r="A91" s="1" t="s">
        <v>129</v>
      </c>
      <c r="B91" s="1" t="s">
        <v>24</v>
      </c>
      <c r="C91" s="4">
        <v>45495</v>
      </c>
      <c r="D91" s="1" t="s">
        <v>25</v>
      </c>
      <c r="E91" s="1" t="s">
        <v>29</v>
      </c>
      <c r="F91" s="7">
        <v>3336</v>
      </c>
      <c r="G91" s="7">
        <v>229</v>
      </c>
      <c r="H91" s="7">
        <v>337</v>
      </c>
      <c r="I91" s="7">
        <v>22117</v>
      </c>
      <c r="J91" s="7">
        <v>26205</v>
      </c>
      <c r="K91" s="7">
        <v>160</v>
      </c>
      <c r="L91" s="1" t="s">
        <v>27</v>
      </c>
      <c r="M91" s="1" t="s">
        <v>18</v>
      </c>
    </row>
    <row r="92" spans="1:13" ht="15.75" customHeight="1">
      <c r="A92" s="1" t="s">
        <v>130</v>
      </c>
      <c r="B92" s="1" t="s">
        <v>24</v>
      </c>
      <c r="C92" s="4">
        <v>45774</v>
      </c>
      <c r="D92" s="1" t="s">
        <v>15</v>
      </c>
      <c r="E92" s="1" t="s">
        <v>20</v>
      </c>
      <c r="F92" s="7">
        <v>1165</v>
      </c>
      <c r="G92" s="7">
        <v>294</v>
      </c>
      <c r="H92" s="7">
        <v>163</v>
      </c>
      <c r="I92" s="7">
        <v>20659</v>
      </c>
      <c r="J92" s="7">
        <v>45926</v>
      </c>
      <c r="K92" s="7">
        <v>111</v>
      </c>
      <c r="L92" s="1" t="s">
        <v>44</v>
      </c>
      <c r="M92" s="1" t="s">
        <v>22</v>
      </c>
    </row>
    <row r="93" spans="1:13" ht="15.75" customHeight="1">
      <c r="A93" s="1" t="s">
        <v>131</v>
      </c>
      <c r="B93" s="1" t="s">
        <v>364</v>
      </c>
      <c r="C93" s="4">
        <v>45376</v>
      </c>
      <c r="D93" s="1" t="s">
        <v>56</v>
      </c>
      <c r="E93" s="1" t="s">
        <v>20</v>
      </c>
      <c r="F93" s="7">
        <v>1948</v>
      </c>
      <c r="G93" s="7">
        <v>155</v>
      </c>
      <c r="H93" s="7">
        <v>315</v>
      </c>
      <c r="I93" s="7">
        <v>30321</v>
      </c>
      <c r="J93" s="7">
        <v>57121</v>
      </c>
      <c r="K93" s="7">
        <v>82</v>
      </c>
      <c r="L93" s="1" t="s">
        <v>57</v>
      </c>
      <c r="M93" s="1" t="s">
        <v>58</v>
      </c>
    </row>
    <row r="94" spans="1:13" ht="15.75" customHeight="1">
      <c r="A94" s="1" t="s">
        <v>132</v>
      </c>
      <c r="B94" s="1" t="s">
        <v>14</v>
      </c>
      <c r="C94" s="4">
        <v>45351</v>
      </c>
      <c r="D94" s="1" t="s">
        <v>15</v>
      </c>
      <c r="E94" s="1" t="s">
        <v>48</v>
      </c>
      <c r="F94" s="7">
        <v>1100</v>
      </c>
      <c r="G94" s="7">
        <v>229</v>
      </c>
      <c r="H94" s="7">
        <v>312</v>
      </c>
      <c r="I94" s="7">
        <v>25641</v>
      </c>
      <c r="J94" s="7">
        <v>34601</v>
      </c>
      <c r="K94" s="7">
        <v>169</v>
      </c>
      <c r="L94" s="1" t="s">
        <v>21</v>
      </c>
      <c r="M94" s="1" t="s">
        <v>22</v>
      </c>
    </row>
    <row r="95" spans="1:13" ht="15.75" customHeight="1">
      <c r="A95" s="1" t="s">
        <v>133</v>
      </c>
      <c r="B95" s="1" t="s">
        <v>24</v>
      </c>
      <c r="C95" s="4">
        <v>45609</v>
      </c>
      <c r="D95" s="1" t="s">
        <v>25</v>
      </c>
      <c r="E95" s="1" t="s">
        <v>40</v>
      </c>
      <c r="F95" s="7">
        <v>4628</v>
      </c>
      <c r="G95" s="7">
        <v>257</v>
      </c>
      <c r="H95" s="7">
        <v>397</v>
      </c>
      <c r="I95" s="7">
        <v>36686</v>
      </c>
      <c r="J95" s="7">
        <v>54683</v>
      </c>
      <c r="K95" s="7">
        <v>98</v>
      </c>
      <c r="L95" s="1" t="s">
        <v>17</v>
      </c>
      <c r="M95" s="1" t="s">
        <v>18</v>
      </c>
    </row>
    <row r="96" spans="1:13" ht="15.75" customHeight="1">
      <c r="A96" s="1" t="s">
        <v>134</v>
      </c>
      <c r="B96" s="1" t="s">
        <v>14</v>
      </c>
      <c r="C96" s="4">
        <v>45373</v>
      </c>
      <c r="D96" s="1" t="s">
        <v>25</v>
      </c>
      <c r="E96" s="1" t="s">
        <v>16</v>
      </c>
      <c r="F96" s="7">
        <v>2319</v>
      </c>
      <c r="G96" s="7">
        <v>484</v>
      </c>
      <c r="H96" s="7">
        <v>193</v>
      </c>
      <c r="I96" s="7">
        <v>21202</v>
      </c>
      <c r="J96" s="7">
        <v>18091</v>
      </c>
      <c r="K96" s="7">
        <v>241</v>
      </c>
      <c r="L96" s="1" t="s">
        <v>41</v>
      </c>
      <c r="M96" s="1" t="s">
        <v>54</v>
      </c>
    </row>
    <row r="97" spans="1:13" ht="15.75" customHeight="1">
      <c r="A97" s="1" t="s">
        <v>135</v>
      </c>
      <c r="B97" s="1" t="s">
        <v>24</v>
      </c>
      <c r="C97" s="4">
        <v>45367</v>
      </c>
      <c r="D97" s="1" t="s">
        <v>25</v>
      </c>
      <c r="E97" s="1" t="s">
        <v>29</v>
      </c>
      <c r="F97" s="7">
        <v>2895</v>
      </c>
      <c r="G97" s="7">
        <v>292</v>
      </c>
      <c r="H97" s="7">
        <v>90</v>
      </c>
      <c r="I97" s="7">
        <v>24223</v>
      </c>
      <c r="J97" s="7">
        <v>54626</v>
      </c>
      <c r="K97" s="7">
        <v>114</v>
      </c>
      <c r="L97" s="1" t="s">
        <v>17</v>
      </c>
      <c r="M97" s="1" t="s">
        <v>18</v>
      </c>
    </row>
    <row r="98" spans="1:13" ht="15.75" customHeight="1">
      <c r="A98" s="1" t="s">
        <v>136</v>
      </c>
      <c r="B98" s="1" t="s">
        <v>14</v>
      </c>
      <c r="C98" s="4">
        <v>45317</v>
      </c>
      <c r="D98" s="1" t="s">
        <v>15</v>
      </c>
      <c r="E98" s="1" t="s">
        <v>34</v>
      </c>
      <c r="F98" s="7">
        <v>3878</v>
      </c>
      <c r="G98" s="7">
        <v>431</v>
      </c>
      <c r="H98" s="7">
        <v>97</v>
      </c>
      <c r="I98" s="7">
        <v>41763</v>
      </c>
      <c r="J98" s="7">
        <v>29729</v>
      </c>
      <c r="K98" s="7">
        <v>191</v>
      </c>
      <c r="L98" s="1" t="s">
        <v>21</v>
      </c>
      <c r="M98" s="1" t="s">
        <v>22</v>
      </c>
    </row>
    <row r="99" spans="1:13" ht="15.75" customHeight="1">
      <c r="A99" s="1" t="s">
        <v>137</v>
      </c>
      <c r="B99" s="1" t="s">
        <v>24</v>
      </c>
      <c r="C99" s="4">
        <v>45366</v>
      </c>
      <c r="D99" s="1" t="s">
        <v>25</v>
      </c>
      <c r="E99" s="1" t="s">
        <v>36</v>
      </c>
      <c r="F99" s="7">
        <v>4969</v>
      </c>
      <c r="G99" s="7">
        <v>433</v>
      </c>
      <c r="H99" s="7">
        <v>237</v>
      </c>
      <c r="I99" s="7">
        <v>59552</v>
      </c>
      <c r="J99" s="7">
        <v>23885</v>
      </c>
      <c r="K99" s="7">
        <v>157</v>
      </c>
      <c r="L99" s="1" t="s">
        <v>38</v>
      </c>
      <c r="M99" s="1" t="s">
        <v>18</v>
      </c>
    </row>
    <row r="100" spans="1:13" ht="15.75" customHeight="1">
      <c r="A100" s="1" t="s">
        <v>138</v>
      </c>
      <c r="B100" s="1" t="s">
        <v>24</v>
      </c>
      <c r="C100" s="4">
        <v>45580</v>
      </c>
      <c r="D100" s="1" t="s">
        <v>15</v>
      </c>
      <c r="E100" s="1" t="s">
        <v>29</v>
      </c>
      <c r="F100" s="7">
        <v>1984</v>
      </c>
      <c r="G100" s="7">
        <v>481</v>
      </c>
      <c r="H100" s="7">
        <v>356</v>
      </c>
      <c r="I100" s="7">
        <v>40681</v>
      </c>
      <c r="J100" s="7">
        <v>63111</v>
      </c>
      <c r="K100" s="7">
        <v>258</v>
      </c>
      <c r="L100" s="1" t="s">
        <v>41</v>
      </c>
      <c r="M100" s="1" t="s">
        <v>18</v>
      </c>
    </row>
    <row r="101" spans="1:13" ht="15.75" customHeight="1">
      <c r="A101" s="1" t="s">
        <v>139</v>
      </c>
      <c r="B101" s="1" t="s">
        <v>14</v>
      </c>
      <c r="C101" s="4">
        <v>45494</v>
      </c>
      <c r="D101" s="1" t="s">
        <v>15</v>
      </c>
      <c r="E101" s="1" t="s">
        <v>16</v>
      </c>
      <c r="F101" s="7">
        <v>3004</v>
      </c>
      <c r="G101" s="7">
        <v>415</v>
      </c>
      <c r="H101" s="7">
        <v>218</v>
      </c>
      <c r="I101" s="7">
        <v>36090</v>
      </c>
      <c r="J101" s="7">
        <v>37073</v>
      </c>
      <c r="K101" s="7">
        <v>181</v>
      </c>
      <c r="L101" s="1" t="s">
        <v>21</v>
      </c>
      <c r="M101" s="1" t="s">
        <v>22</v>
      </c>
    </row>
    <row r="102" spans="1:13" ht="15.75" customHeight="1">
      <c r="A102" s="1" t="s">
        <v>140</v>
      </c>
      <c r="B102" s="1" t="s">
        <v>24</v>
      </c>
      <c r="C102" s="4">
        <v>45577</v>
      </c>
      <c r="D102" s="1" t="s">
        <v>15</v>
      </c>
      <c r="E102" s="1" t="s">
        <v>36</v>
      </c>
      <c r="F102" s="7">
        <v>3169</v>
      </c>
      <c r="G102" s="7">
        <v>386</v>
      </c>
      <c r="H102" s="7">
        <v>175</v>
      </c>
      <c r="I102" s="7">
        <v>45012</v>
      </c>
      <c r="J102" s="7">
        <v>38508</v>
      </c>
      <c r="K102" s="7">
        <v>218</v>
      </c>
      <c r="L102" s="1" t="s">
        <v>41</v>
      </c>
      <c r="M102" s="1" t="s">
        <v>18</v>
      </c>
    </row>
    <row r="103" spans="1:13" ht="15.75" customHeight="1">
      <c r="A103" s="1" t="s">
        <v>141</v>
      </c>
      <c r="B103" s="1" t="s">
        <v>24</v>
      </c>
      <c r="C103" s="4">
        <v>45591</v>
      </c>
      <c r="D103" s="1" t="s">
        <v>15</v>
      </c>
      <c r="E103" s="1" t="s">
        <v>16</v>
      </c>
      <c r="F103" s="7">
        <v>3036</v>
      </c>
      <c r="G103" s="7">
        <v>293</v>
      </c>
      <c r="H103" s="7">
        <v>115</v>
      </c>
      <c r="I103" s="7">
        <v>23776</v>
      </c>
      <c r="J103" s="7">
        <v>46386</v>
      </c>
      <c r="K103" s="7">
        <v>282</v>
      </c>
      <c r="L103" s="1" t="s">
        <v>41</v>
      </c>
      <c r="M103" s="1" t="s">
        <v>18</v>
      </c>
    </row>
    <row r="104" spans="1:13" ht="15.75" customHeight="1">
      <c r="A104" s="1" t="s">
        <v>142</v>
      </c>
      <c r="B104" s="1" t="s">
        <v>14</v>
      </c>
      <c r="C104" s="4">
        <v>45336</v>
      </c>
      <c r="D104" s="1" t="s">
        <v>15</v>
      </c>
      <c r="E104" s="1" t="s">
        <v>31</v>
      </c>
      <c r="F104" s="7">
        <v>1830</v>
      </c>
      <c r="G104" s="7">
        <v>112</v>
      </c>
      <c r="H104" s="7">
        <v>181</v>
      </c>
      <c r="I104" s="7">
        <v>31870</v>
      </c>
      <c r="J104" s="7">
        <v>55742</v>
      </c>
      <c r="K104" s="7">
        <v>263</v>
      </c>
      <c r="L104" s="1" t="s">
        <v>17</v>
      </c>
      <c r="M104" s="1" t="s">
        <v>18</v>
      </c>
    </row>
    <row r="105" spans="1:13" ht="15.75" customHeight="1">
      <c r="A105" s="1" t="s">
        <v>143</v>
      </c>
      <c r="B105" s="1" t="s">
        <v>24</v>
      </c>
      <c r="C105" s="4">
        <v>45413</v>
      </c>
      <c r="D105" s="1" t="s">
        <v>25</v>
      </c>
      <c r="E105" s="1" t="s">
        <v>34</v>
      </c>
      <c r="F105" s="7">
        <v>2587</v>
      </c>
      <c r="G105" s="7">
        <v>447</v>
      </c>
      <c r="H105" s="7">
        <v>183</v>
      </c>
      <c r="I105" s="7">
        <v>36266</v>
      </c>
      <c r="J105" s="7">
        <v>32877</v>
      </c>
      <c r="K105" s="7">
        <v>132</v>
      </c>
      <c r="L105" s="1" t="s">
        <v>38</v>
      </c>
      <c r="M105" s="1" t="s">
        <v>18</v>
      </c>
    </row>
    <row r="106" spans="1:13" ht="15.75" customHeight="1">
      <c r="A106" s="1" t="s">
        <v>144</v>
      </c>
      <c r="B106" s="1" t="s">
        <v>24</v>
      </c>
      <c r="C106" s="4">
        <v>45553</v>
      </c>
      <c r="D106" s="1" t="s">
        <v>15</v>
      </c>
      <c r="E106" s="1" t="s">
        <v>16</v>
      </c>
      <c r="F106" s="7">
        <v>2878</v>
      </c>
      <c r="G106" s="7">
        <v>265</v>
      </c>
      <c r="H106" s="7">
        <v>91</v>
      </c>
      <c r="I106" s="7">
        <v>52090</v>
      </c>
      <c r="J106" s="7">
        <v>28924</v>
      </c>
      <c r="K106" s="7">
        <v>133</v>
      </c>
      <c r="L106" s="1" t="s">
        <v>41</v>
      </c>
      <c r="M106" s="1" t="s">
        <v>18</v>
      </c>
    </row>
    <row r="107" spans="1:13" ht="15.75" customHeight="1">
      <c r="A107" s="1" t="s">
        <v>145</v>
      </c>
      <c r="B107" s="1" t="s">
        <v>24</v>
      </c>
      <c r="C107" s="4">
        <v>45677</v>
      </c>
      <c r="D107" s="1" t="s">
        <v>25</v>
      </c>
      <c r="E107" s="1" t="s">
        <v>26</v>
      </c>
      <c r="F107" s="7">
        <v>4619</v>
      </c>
      <c r="G107" s="7">
        <v>272</v>
      </c>
      <c r="H107" s="7">
        <v>57</v>
      </c>
      <c r="I107" s="7">
        <v>21334</v>
      </c>
      <c r="J107" s="7">
        <v>46292</v>
      </c>
      <c r="K107" s="7">
        <v>91</v>
      </c>
      <c r="L107" s="1" t="s">
        <v>17</v>
      </c>
      <c r="M107" s="1" t="s">
        <v>18</v>
      </c>
    </row>
    <row r="108" spans="1:13" ht="15.75" customHeight="1">
      <c r="A108" s="1" t="s">
        <v>146</v>
      </c>
      <c r="B108" s="1" t="s">
        <v>24</v>
      </c>
      <c r="C108" s="4">
        <v>45670</v>
      </c>
      <c r="D108" s="1" t="s">
        <v>15</v>
      </c>
      <c r="E108" s="1" t="s">
        <v>31</v>
      </c>
      <c r="F108" s="7">
        <v>4090</v>
      </c>
      <c r="G108" s="7">
        <v>209</v>
      </c>
      <c r="H108" s="7">
        <v>278</v>
      </c>
      <c r="I108" s="7">
        <v>52853</v>
      </c>
      <c r="J108" s="7">
        <v>57084</v>
      </c>
      <c r="K108" s="7">
        <v>102</v>
      </c>
      <c r="L108" s="1" t="s">
        <v>44</v>
      </c>
      <c r="M108" s="1" t="s">
        <v>22</v>
      </c>
    </row>
    <row r="109" spans="1:13" ht="15.75" customHeight="1">
      <c r="A109" s="1" t="s">
        <v>147</v>
      </c>
      <c r="B109" s="1" t="s">
        <v>364</v>
      </c>
      <c r="C109" s="4">
        <v>45542</v>
      </c>
      <c r="D109" s="1" t="s">
        <v>56</v>
      </c>
      <c r="E109" s="1" t="s">
        <v>31</v>
      </c>
      <c r="F109" s="7">
        <v>3882</v>
      </c>
      <c r="G109" s="7">
        <v>342</v>
      </c>
      <c r="H109" s="7">
        <v>374</v>
      </c>
      <c r="I109" s="7">
        <v>41991</v>
      </c>
      <c r="J109" s="7">
        <v>48554</v>
      </c>
      <c r="K109" s="7">
        <v>118</v>
      </c>
      <c r="L109" s="1" t="s">
        <v>57</v>
      </c>
      <c r="M109" s="1" t="s">
        <v>58</v>
      </c>
    </row>
    <row r="110" spans="1:13" ht="15.75" customHeight="1">
      <c r="A110" s="1" t="s">
        <v>148</v>
      </c>
      <c r="B110" s="1" t="s">
        <v>14</v>
      </c>
      <c r="C110" s="4">
        <v>45617</v>
      </c>
      <c r="D110" s="1" t="s">
        <v>15</v>
      </c>
      <c r="E110" s="1" t="s">
        <v>31</v>
      </c>
      <c r="F110" s="7">
        <v>4581</v>
      </c>
      <c r="G110" s="7">
        <v>181</v>
      </c>
      <c r="H110" s="7">
        <v>112</v>
      </c>
      <c r="I110" s="7">
        <v>35221</v>
      </c>
      <c r="J110" s="7">
        <v>28797</v>
      </c>
      <c r="K110" s="7">
        <v>164</v>
      </c>
      <c r="L110" s="1" t="s">
        <v>17</v>
      </c>
      <c r="M110" s="1" t="s">
        <v>18</v>
      </c>
    </row>
    <row r="111" spans="1:13" ht="15.75" customHeight="1">
      <c r="A111" s="1" t="s">
        <v>149</v>
      </c>
      <c r="B111" s="1" t="s">
        <v>14</v>
      </c>
      <c r="C111" s="4">
        <v>45469</v>
      </c>
      <c r="D111" s="1" t="s">
        <v>15</v>
      </c>
      <c r="E111" s="1" t="s">
        <v>26</v>
      </c>
      <c r="F111" s="7">
        <v>3253</v>
      </c>
      <c r="G111" s="7">
        <v>483</v>
      </c>
      <c r="H111" s="7">
        <v>336</v>
      </c>
      <c r="I111" s="7">
        <v>25397</v>
      </c>
      <c r="J111" s="7">
        <v>51485</v>
      </c>
      <c r="K111" s="7">
        <v>131</v>
      </c>
      <c r="L111" s="1" t="s">
        <v>21</v>
      </c>
      <c r="M111" s="1" t="s">
        <v>22</v>
      </c>
    </row>
    <row r="112" spans="1:13" ht="15.75" customHeight="1">
      <c r="A112" s="1" t="s">
        <v>150</v>
      </c>
      <c r="B112" s="1" t="s">
        <v>364</v>
      </c>
      <c r="C112" s="4">
        <v>45493</v>
      </c>
      <c r="D112" s="1" t="s">
        <v>56</v>
      </c>
      <c r="E112" s="1" t="s">
        <v>31</v>
      </c>
      <c r="F112" s="7">
        <v>4955</v>
      </c>
      <c r="G112" s="7">
        <v>299</v>
      </c>
      <c r="H112" s="7">
        <v>345</v>
      </c>
      <c r="I112" s="7">
        <v>33644</v>
      </c>
      <c r="J112" s="7">
        <v>43547</v>
      </c>
      <c r="K112" s="7">
        <v>194</v>
      </c>
      <c r="L112" s="1" t="s">
        <v>57</v>
      </c>
      <c r="M112" s="1" t="s">
        <v>58</v>
      </c>
    </row>
    <row r="113" spans="1:13" ht="15.75" customHeight="1">
      <c r="A113" s="1" t="s">
        <v>151</v>
      </c>
      <c r="B113" s="1" t="s">
        <v>14</v>
      </c>
      <c r="C113" s="4">
        <v>45704</v>
      </c>
      <c r="D113" s="1" t="s">
        <v>15</v>
      </c>
      <c r="E113" s="1" t="s">
        <v>50</v>
      </c>
      <c r="F113" s="7">
        <v>1333</v>
      </c>
      <c r="G113" s="7">
        <v>286</v>
      </c>
      <c r="H113" s="7">
        <v>298</v>
      </c>
      <c r="I113" s="7">
        <v>36174</v>
      </c>
      <c r="J113" s="7">
        <v>34517</v>
      </c>
      <c r="K113" s="7">
        <v>170</v>
      </c>
      <c r="L113" s="1" t="s">
        <v>17</v>
      </c>
      <c r="M113" s="1" t="s">
        <v>18</v>
      </c>
    </row>
    <row r="114" spans="1:13" ht="15.75" customHeight="1">
      <c r="A114" s="1" t="s">
        <v>152</v>
      </c>
      <c r="B114" s="1" t="s">
        <v>14</v>
      </c>
      <c r="C114" s="4">
        <v>45544</v>
      </c>
      <c r="D114" s="1" t="s">
        <v>15</v>
      </c>
      <c r="E114" s="1" t="s">
        <v>26</v>
      </c>
      <c r="F114" s="7">
        <v>1616</v>
      </c>
      <c r="G114" s="7">
        <v>360</v>
      </c>
      <c r="H114" s="7">
        <v>180</v>
      </c>
      <c r="I114" s="7">
        <v>54342</v>
      </c>
      <c r="J114" s="7">
        <v>18796</v>
      </c>
      <c r="K114" s="7">
        <v>282</v>
      </c>
      <c r="L114" s="1" t="s">
        <v>17</v>
      </c>
      <c r="M114" s="1" t="s">
        <v>18</v>
      </c>
    </row>
    <row r="115" spans="1:13" ht="15.75" customHeight="1">
      <c r="A115" s="1" t="s">
        <v>153</v>
      </c>
      <c r="B115" s="1" t="s">
        <v>24</v>
      </c>
      <c r="C115" s="4">
        <v>45489</v>
      </c>
      <c r="D115" s="1" t="s">
        <v>15</v>
      </c>
      <c r="E115" s="1" t="s">
        <v>40</v>
      </c>
      <c r="F115" s="7">
        <v>1803</v>
      </c>
      <c r="G115" s="7">
        <v>273</v>
      </c>
      <c r="H115" s="7">
        <v>287</v>
      </c>
      <c r="I115" s="7">
        <v>46176</v>
      </c>
      <c r="J115" s="7">
        <v>25488</v>
      </c>
      <c r="K115" s="7">
        <v>141</v>
      </c>
      <c r="L115" s="1" t="s">
        <v>41</v>
      </c>
      <c r="M115" s="1" t="s">
        <v>18</v>
      </c>
    </row>
    <row r="116" spans="1:13" ht="15.75" customHeight="1">
      <c r="A116" s="1" t="s">
        <v>154</v>
      </c>
      <c r="B116" s="1" t="s">
        <v>14</v>
      </c>
      <c r="C116" s="4">
        <v>45762</v>
      </c>
      <c r="D116" s="1" t="s">
        <v>15</v>
      </c>
      <c r="E116" s="1" t="s">
        <v>20</v>
      </c>
      <c r="F116" s="7">
        <v>4177</v>
      </c>
      <c r="G116" s="7">
        <v>489</v>
      </c>
      <c r="H116" s="7">
        <v>331</v>
      </c>
      <c r="I116" s="7">
        <v>57451</v>
      </c>
      <c r="J116" s="7">
        <v>73793</v>
      </c>
      <c r="K116" s="7">
        <v>251</v>
      </c>
      <c r="L116" s="1" t="s">
        <v>21</v>
      </c>
      <c r="M116" s="1" t="s">
        <v>22</v>
      </c>
    </row>
    <row r="117" spans="1:13" ht="15.75" customHeight="1">
      <c r="A117" s="1" t="s">
        <v>155</v>
      </c>
      <c r="B117" s="1" t="s">
        <v>14</v>
      </c>
      <c r="C117" s="4">
        <v>45781</v>
      </c>
      <c r="D117" s="1" t="s">
        <v>25</v>
      </c>
      <c r="E117" s="1" t="s">
        <v>26</v>
      </c>
      <c r="F117" s="7">
        <v>1311</v>
      </c>
      <c r="G117" s="7">
        <v>181</v>
      </c>
      <c r="H117" s="7">
        <v>361</v>
      </c>
      <c r="I117" s="7">
        <v>37148</v>
      </c>
      <c r="J117" s="7">
        <v>44875</v>
      </c>
      <c r="K117" s="7">
        <v>245</v>
      </c>
      <c r="L117" s="1" t="s">
        <v>41</v>
      </c>
      <c r="M117" s="1" t="s">
        <v>54</v>
      </c>
    </row>
    <row r="118" spans="1:13" ht="15.75" customHeight="1">
      <c r="A118" s="1" t="s">
        <v>156</v>
      </c>
      <c r="B118" s="1" t="s">
        <v>14</v>
      </c>
      <c r="C118" s="4">
        <v>45340</v>
      </c>
      <c r="D118" s="1" t="s">
        <v>25</v>
      </c>
      <c r="E118" s="1" t="s">
        <v>48</v>
      </c>
      <c r="F118" s="7">
        <v>1516</v>
      </c>
      <c r="G118" s="7">
        <v>215</v>
      </c>
      <c r="H118" s="7">
        <v>332</v>
      </c>
      <c r="I118" s="7">
        <v>58981</v>
      </c>
      <c r="J118" s="7">
        <v>36118</v>
      </c>
      <c r="K118" s="7">
        <v>211</v>
      </c>
      <c r="L118" s="1" t="s">
        <v>41</v>
      </c>
      <c r="M118" s="1" t="s">
        <v>54</v>
      </c>
    </row>
    <row r="119" spans="1:13" ht="15.75" customHeight="1">
      <c r="A119" s="1" t="s">
        <v>157</v>
      </c>
      <c r="B119" s="1" t="s">
        <v>24</v>
      </c>
      <c r="C119" s="4">
        <v>45428</v>
      </c>
      <c r="D119" s="1" t="s">
        <v>25</v>
      </c>
      <c r="E119" s="1" t="s">
        <v>31</v>
      </c>
      <c r="F119" s="7">
        <v>2023</v>
      </c>
      <c r="G119" s="7">
        <v>124</v>
      </c>
      <c r="H119" s="7">
        <v>99</v>
      </c>
      <c r="I119" s="7">
        <v>54524</v>
      </c>
      <c r="J119" s="7">
        <v>34790</v>
      </c>
      <c r="K119" s="7">
        <v>195</v>
      </c>
      <c r="L119" s="1" t="s">
        <v>38</v>
      </c>
      <c r="M119" s="1" t="s">
        <v>18</v>
      </c>
    </row>
    <row r="120" spans="1:13" ht="15.75" customHeight="1">
      <c r="A120" s="1" t="s">
        <v>158</v>
      </c>
      <c r="B120" s="1" t="s">
        <v>24</v>
      </c>
      <c r="C120" s="4">
        <v>45806</v>
      </c>
      <c r="D120" s="1" t="s">
        <v>25</v>
      </c>
      <c r="E120" s="1" t="s">
        <v>31</v>
      </c>
      <c r="F120" s="7">
        <v>2134</v>
      </c>
      <c r="G120" s="7">
        <v>322</v>
      </c>
      <c r="H120" s="7">
        <v>114</v>
      </c>
      <c r="I120" s="7">
        <v>44338</v>
      </c>
      <c r="J120" s="7">
        <v>52165</v>
      </c>
      <c r="K120" s="7">
        <v>176</v>
      </c>
      <c r="L120" s="1" t="s">
        <v>27</v>
      </c>
      <c r="M120" s="1" t="s">
        <v>18</v>
      </c>
    </row>
    <row r="121" spans="1:13" ht="15.75" customHeight="1">
      <c r="A121" s="1" t="s">
        <v>159</v>
      </c>
      <c r="B121" s="1" t="s">
        <v>14</v>
      </c>
      <c r="C121" s="4">
        <v>45674</v>
      </c>
      <c r="D121" s="1" t="s">
        <v>15</v>
      </c>
      <c r="E121" s="1" t="s">
        <v>40</v>
      </c>
      <c r="F121" s="7">
        <v>2266</v>
      </c>
      <c r="G121" s="7">
        <v>126</v>
      </c>
      <c r="H121" s="7">
        <v>140</v>
      </c>
      <c r="I121" s="7">
        <v>53759</v>
      </c>
      <c r="J121" s="7">
        <v>46834</v>
      </c>
      <c r="K121" s="7">
        <v>277</v>
      </c>
      <c r="L121" s="1" t="s">
        <v>21</v>
      </c>
      <c r="M121" s="1" t="s">
        <v>22</v>
      </c>
    </row>
    <row r="122" spans="1:13" ht="15.75" customHeight="1">
      <c r="A122" s="1" t="s">
        <v>160</v>
      </c>
      <c r="B122" s="1" t="s">
        <v>14</v>
      </c>
      <c r="C122" s="4">
        <v>45777</v>
      </c>
      <c r="D122" s="1" t="s">
        <v>25</v>
      </c>
      <c r="E122" s="1" t="s">
        <v>26</v>
      </c>
      <c r="F122" s="7">
        <v>3916</v>
      </c>
      <c r="G122" s="7">
        <v>459</v>
      </c>
      <c r="H122" s="7">
        <v>229</v>
      </c>
      <c r="I122" s="7">
        <v>48989</v>
      </c>
      <c r="J122" s="7">
        <v>39768</v>
      </c>
      <c r="K122" s="7">
        <v>200</v>
      </c>
      <c r="L122" s="1" t="s">
        <v>41</v>
      </c>
      <c r="M122" s="1" t="s">
        <v>54</v>
      </c>
    </row>
    <row r="123" spans="1:13" ht="15.75" customHeight="1">
      <c r="A123" s="1" t="s">
        <v>161</v>
      </c>
      <c r="B123" s="1" t="s">
        <v>24</v>
      </c>
      <c r="C123" s="4">
        <v>45346</v>
      </c>
      <c r="D123" s="1" t="s">
        <v>25</v>
      </c>
      <c r="E123" s="1" t="s">
        <v>31</v>
      </c>
      <c r="F123" s="7">
        <v>1022</v>
      </c>
      <c r="G123" s="7">
        <v>463</v>
      </c>
      <c r="H123" s="7">
        <v>360</v>
      </c>
      <c r="I123" s="7">
        <v>51468</v>
      </c>
      <c r="J123" s="7">
        <v>24279</v>
      </c>
      <c r="K123" s="7">
        <v>230</v>
      </c>
      <c r="L123" s="1" t="s">
        <v>38</v>
      </c>
      <c r="M123" s="1" t="s">
        <v>18</v>
      </c>
    </row>
    <row r="124" spans="1:13" ht="15.75" customHeight="1">
      <c r="A124" s="1" t="s">
        <v>162</v>
      </c>
      <c r="B124" s="1" t="s">
        <v>364</v>
      </c>
      <c r="C124" s="4">
        <v>45424</v>
      </c>
      <c r="D124" s="1" t="s">
        <v>15</v>
      </c>
      <c r="E124" s="1" t="s">
        <v>48</v>
      </c>
      <c r="F124" s="7">
        <v>2911</v>
      </c>
      <c r="G124" s="7">
        <v>467</v>
      </c>
      <c r="H124" s="7">
        <v>94</v>
      </c>
      <c r="I124" s="7">
        <v>59083</v>
      </c>
      <c r="J124" s="7">
        <v>49762</v>
      </c>
      <c r="K124" s="7">
        <v>236</v>
      </c>
      <c r="L124" s="1" t="s">
        <v>32</v>
      </c>
      <c r="M124" s="1" t="s">
        <v>22</v>
      </c>
    </row>
    <row r="125" spans="1:13" ht="15.75" customHeight="1">
      <c r="A125" s="1" t="s">
        <v>163</v>
      </c>
      <c r="B125" s="1" t="s">
        <v>24</v>
      </c>
      <c r="C125" s="4">
        <v>45421</v>
      </c>
      <c r="D125" s="1" t="s">
        <v>25</v>
      </c>
      <c r="E125" s="1" t="s">
        <v>26</v>
      </c>
      <c r="F125" s="7">
        <v>3277</v>
      </c>
      <c r="G125" s="7">
        <v>423</v>
      </c>
      <c r="H125" s="7">
        <v>259</v>
      </c>
      <c r="I125" s="7">
        <v>46328</v>
      </c>
      <c r="J125" s="7">
        <v>44293</v>
      </c>
      <c r="K125" s="7">
        <v>299</v>
      </c>
      <c r="L125" s="1" t="s">
        <v>17</v>
      </c>
      <c r="M125" s="1" t="s">
        <v>18</v>
      </c>
    </row>
    <row r="126" spans="1:13" ht="15.75" customHeight="1">
      <c r="A126" s="1" t="s">
        <v>164</v>
      </c>
      <c r="B126" s="1" t="s">
        <v>24</v>
      </c>
      <c r="C126" s="4">
        <v>45602</v>
      </c>
      <c r="D126" s="1" t="s">
        <v>15</v>
      </c>
      <c r="E126" s="1" t="s">
        <v>48</v>
      </c>
      <c r="F126" s="7">
        <v>2956</v>
      </c>
      <c r="G126" s="7">
        <v>381</v>
      </c>
      <c r="H126" s="7">
        <v>345</v>
      </c>
      <c r="I126" s="7">
        <v>33347</v>
      </c>
      <c r="J126" s="7">
        <v>22558</v>
      </c>
      <c r="K126" s="7">
        <v>173</v>
      </c>
      <c r="L126" s="1" t="s">
        <v>41</v>
      </c>
      <c r="M126" s="1" t="s">
        <v>18</v>
      </c>
    </row>
    <row r="127" spans="1:13" ht="15.75" customHeight="1">
      <c r="A127" s="1" t="s">
        <v>165</v>
      </c>
      <c r="B127" s="1" t="s">
        <v>24</v>
      </c>
      <c r="C127" s="4">
        <v>45295</v>
      </c>
      <c r="D127" s="1" t="s">
        <v>25</v>
      </c>
      <c r="E127" s="1" t="s">
        <v>34</v>
      </c>
      <c r="F127" s="7">
        <v>3208</v>
      </c>
      <c r="G127" s="7">
        <v>476</v>
      </c>
      <c r="H127" s="7">
        <v>277</v>
      </c>
      <c r="I127" s="7">
        <v>56072</v>
      </c>
      <c r="J127" s="7">
        <v>21061</v>
      </c>
      <c r="K127" s="7">
        <v>113</v>
      </c>
      <c r="L127" s="1" t="s">
        <v>27</v>
      </c>
      <c r="M127" s="1" t="s">
        <v>18</v>
      </c>
    </row>
    <row r="128" spans="1:13" ht="15.75" customHeight="1">
      <c r="A128" s="1" t="s">
        <v>166</v>
      </c>
      <c r="B128" s="1" t="s">
        <v>24</v>
      </c>
      <c r="C128" s="4">
        <v>45319</v>
      </c>
      <c r="D128" s="1" t="s">
        <v>15</v>
      </c>
      <c r="E128" s="1" t="s">
        <v>31</v>
      </c>
      <c r="F128" s="7">
        <v>1456</v>
      </c>
      <c r="G128" s="7">
        <v>265</v>
      </c>
      <c r="H128" s="7">
        <v>137</v>
      </c>
      <c r="I128" s="7">
        <v>53485</v>
      </c>
      <c r="J128" s="7">
        <v>59729</v>
      </c>
      <c r="K128" s="7">
        <v>145</v>
      </c>
      <c r="L128" s="1" t="s">
        <v>44</v>
      </c>
      <c r="M128" s="1" t="s">
        <v>22</v>
      </c>
    </row>
    <row r="129" spans="1:13" ht="15.75" customHeight="1">
      <c r="A129" s="1" t="s">
        <v>167</v>
      </c>
      <c r="B129" s="1" t="s">
        <v>14</v>
      </c>
      <c r="C129" s="4">
        <v>45344</v>
      </c>
      <c r="D129" s="1" t="s">
        <v>15</v>
      </c>
      <c r="E129" s="1" t="s">
        <v>26</v>
      </c>
      <c r="F129" s="7">
        <v>1902</v>
      </c>
      <c r="G129" s="7">
        <v>394</v>
      </c>
      <c r="H129" s="7">
        <v>279</v>
      </c>
      <c r="I129" s="7">
        <v>24615</v>
      </c>
      <c r="J129" s="7">
        <v>51330</v>
      </c>
      <c r="K129" s="7">
        <v>176</v>
      </c>
      <c r="L129" s="1" t="s">
        <v>17</v>
      </c>
      <c r="M129" s="1" t="s">
        <v>18</v>
      </c>
    </row>
    <row r="130" spans="1:13" ht="15.75" customHeight="1">
      <c r="A130" s="1" t="s">
        <v>168</v>
      </c>
      <c r="B130" s="1" t="s">
        <v>24</v>
      </c>
      <c r="C130" s="4">
        <v>45839</v>
      </c>
      <c r="D130" s="1" t="s">
        <v>25</v>
      </c>
      <c r="E130" s="1" t="s">
        <v>20</v>
      </c>
      <c r="F130" s="7">
        <v>3219</v>
      </c>
      <c r="G130" s="7">
        <v>424</v>
      </c>
      <c r="H130" s="7">
        <v>267</v>
      </c>
      <c r="I130" s="7">
        <v>48879</v>
      </c>
      <c r="J130" s="7">
        <v>37691</v>
      </c>
      <c r="K130" s="7">
        <v>224</v>
      </c>
      <c r="L130" s="1" t="s">
        <v>38</v>
      </c>
      <c r="M130" s="1" t="s">
        <v>18</v>
      </c>
    </row>
    <row r="131" spans="1:13" ht="15.75" customHeight="1">
      <c r="A131" s="1" t="s">
        <v>169</v>
      </c>
      <c r="B131" s="1" t="s">
        <v>364</v>
      </c>
      <c r="C131" s="4">
        <v>45301</v>
      </c>
      <c r="D131" s="1" t="s">
        <v>15</v>
      </c>
      <c r="E131" s="1" t="s">
        <v>20</v>
      </c>
      <c r="F131" s="7">
        <v>1261</v>
      </c>
      <c r="G131" s="7">
        <v>190</v>
      </c>
      <c r="H131" s="7">
        <v>233</v>
      </c>
      <c r="I131" s="7">
        <v>59888</v>
      </c>
      <c r="J131" s="7">
        <v>51449</v>
      </c>
      <c r="K131" s="7">
        <v>205</v>
      </c>
      <c r="L131" s="1" t="s">
        <v>32</v>
      </c>
      <c r="M131" s="1" t="s">
        <v>22</v>
      </c>
    </row>
    <row r="132" spans="1:13" ht="15.75" customHeight="1">
      <c r="A132" s="1" t="s">
        <v>170</v>
      </c>
      <c r="B132" s="1" t="s">
        <v>24</v>
      </c>
      <c r="C132" s="4">
        <v>45736</v>
      </c>
      <c r="D132" s="1" t="s">
        <v>15</v>
      </c>
      <c r="E132" s="1" t="s">
        <v>50</v>
      </c>
      <c r="F132" s="7">
        <v>1564</v>
      </c>
      <c r="G132" s="7">
        <v>362</v>
      </c>
      <c r="H132" s="7">
        <v>371</v>
      </c>
      <c r="I132" s="7">
        <v>42075</v>
      </c>
      <c r="J132" s="7">
        <v>66659</v>
      </c>
      <c r="K132" s="7">
        <v>205</v>
      </c>
      <c r="L132" s="1" t="s">
        <v>44</v>
      </c>
      <c r="M132" s="1" t="s">
        <v>22</v>
      </c>
    </row>
    <row r="133" spans="1:13" ht="15.75" customHeight="1">
      <c r="A133" s="1" t="s">
        <v>171</v>
      </c>
      <c r="B133" s="1" t="s">
        <v>24</v>
      </c>
      <c r="C133" s="4">
        <v>45563</v>
      </c>
      <c r="D133" s="1" t="s">
        <v>15</v>
      </c>
      <c r="E133" s="1" t="s">
        <v>34</v>
      </c>
      <c r="F133" s="7">
        <v>4006</v>
      </c>
      <c r="G133" s="7">
        <v>420</v>
      </c>
      <c r="H133" s="7">
        <v>194</v>
      </c>
      <c r="I133" s="7">
        <v>49964</v>
      </c>
      <c r="J133" s="7">
        <v>20685</v>
      </c>
      <c r="K133" s="7">
        <v>148</v>
      </c>
      <c r="L133" s="1" t="s">
        <v>41</v>
      </c>
      <c r="M133" s="1" t="s">
        <v>18</v>
      </c>
    </row>
    <row r="134" spans="1:13" ht="15.75" customHeight="1">
      <c r="A134" s="1" t="s">
        <v>172</v>
      </c>
      <c r="B134" s="1" t="s">
        <v>364</v>
      </c>
      <c r="C134" s="4">
        <v>45318</v>
      </c>
      <c r="D134" s="1" t="s">
        <v>15</v>
      </c>
      <c r="E134" s="1" t="s">
        <v>50</v>
      </c>
      <c r="F134" s="7">
        <v>1976</v>
      </c>
      <c r="G134" s="7">
        <v>262</v>
      </c>
      <c r="H134" s="7">
        <v>218</v>
      </c>
      <c r="I134" s="7">
        <v>51696</v>
      </c>
      <c r="J134" s="7">
        <v>44846</v>
      </c>
      <c r="K134" s="7">
        <v>139</v>
      </c>
      <c r="L134" s="1" t="s">
        <v>32</v>
      </c>
      <c r="M134" s="1" t="s">
        <v>22</v>
      </c>
    </row>
    <row r="135" spans="1:13" ht="15.75" customHeight="1">
      <c r="A135" s="1" t="s">
        <v>173</v>
      </c>
      <c r="B135" s="1" t="s">
        <v>24</v>
      </c>
      <c r="C135" s="4">
        <v>45792</v>
      </c>
      <c r="D135" s="1" t="s">
        <v>15</v>
      </c>
      <c r="E135" s="1" t="s">
        <v>26</v>
      </c>
      <c r="F135" s="7">
        <v>1583</v>
      </c>
      <c r="G135" s="7">
        <v>433</v>
      </c>
      <c r="H135" s="7">
        <v>249</v>
      </c>
      <c r="I135" s="7">
        <v>30256</v>
      </c>
      <c r="J135" s="7">
        <v>47066</v>
      </c>
      <c r="K135" s="7">
        <v>196</v>
      </c>
      <c r="L135" s="1" t="s">
        <v>41</v>
      </c>
      <c r="M135" s="1" t="s">
        <v>18</v>
      </c>
    </row>
    <row r="136" spans="1:13" ht="15.75" customHeight="1">
      <c r="A136" s="1" t="s">
        <v>174</v>
      </c>
      <c r="B136" s="1" t="s">
        <v>24</v>
      </c>
      <c r="C136" s="4">
        <v>45569</v>
      </c>
      <c r="D136" s="1" t="s">
        <v>25</v>
      </c>
      <c r="E136" s="1" t="s">
        <v>20</v>
      </c>
      <c r="F136" s="7">
        <v>2870</v>
      </c>
      <c r="G136" s="7">
        <v>380</v>
      </c>
      <c r="H136" s="7">
        <v>393</v>
      </c>
      <c r="I136" s="7">
        <v>37621</v>
      </c>
      <c r="J136" s="7">
        <v>71794</v>
      </c>
      <c r="K136" s="7">
        <v>127</v>
      </c>
      <c r="L136" s="1" t="s">
        <v>27</v>
      </c>
      <c r="M136" s="1" t="s">
        <v>18</v>
      </c>
    </row>
    <row r="137" spans="1:13" ht="15.75" customHeight="1">
      <c r="A137" s="1" t="s">
        <v>175</v>
      </c>
      <c r="B137" s="1" t="s">
        <v>24</v>
      </c>
      <c r="C137" s="4">
        <v>45615</v>
      </c>
      <c r="D137" s="1" t="s">
        <v>15</v>
      </c>
      <c r="E137" s="1" t="s">
        <v>40</v>
      </c>
      <c r="F137" s="7">
        <v>3728</v>
      </c>
      <c r="G137" s="7">
        <v>271</v>
      </c>
      <c r="H137" s="7">
        <v>275</v>
      </c>
      <c r="I137" s="7">
        <v>22827</v>
      </c>
      <c r="J137" s="7">
        <v>37034</v>
      </c>
      <c r="K137" s="7">
        <v>199</v>
      </c>
      <c r="L137" s="1" t="s">
        <v>41</v>
      </c>
      <c r="M137" s="1" t="s">
        <v>18</v>
      </c>
    </row>
    <row r="138" spans="1:13" ht="15.75" customHeight="1">
      <c r="A138" s="1" t="s">
        <v>176</v>
      </c>
      <c r="B138" s="1" t="s">
        <v>24</v>
      </c>
      <c r="C138" s="4">
        <v>45387</v>
      </c>
      <c r="D138" s="1" t="s">
        <v>25</v>
      </c>
      <c r="E138" s="1" t="s">
        <v>26</v>
      </c>
      <c r="F138" s="7">
        <v>4965</v>
      </c>
      <c r="G138" s="7">
        <v>175</v>
      </c>
      <c r="H138" s="7">
        <v>307</v>
      </c>
      <c r="I138" s="7">
        <v>32793</v>
      </c>
      <c r="J138" s="7">
        <v>43412</v>
      </c>
      <c r="K138" s="7">
        <v>296</v>
      </c>
      <c r="L138" s="1" t="s">
        <v>17</v>
      </c>
      <c r="M138" s="1" t="s">
        <v>18</v>
      </c>
    </row>
    <row r="139" spans="1:13" ht="15.75" customHeight="1">
      <c r="A139" s="1" t="s">
        <v>177</v>
      </c>
      <c r="B139" s="1" t="s">
        <v>24</v>
      </c>
      <c r="C139" s="4">
        <v>45624</v>
      </c>
      <c r="D139" s="1" t="s">
        <v>25</v>
      </c>
      <c r="E139" s="1" t="s">
        <v>26</v>
      </c>
      <c r="F139" s="7">
        <v>1131</v>
      </c>
      <c r="G139" s="7">
        <v>100</v>
      </c>
      <c r="H139" s="7">
        <v>116</v>
      </c>
      <c r="I139" s="7">
        <v>48437</v>
      </c>
      <c r="J139" s="7">
        <v>72704</v>
      </c>
      <c r="K139" s="7">
        <v>236</v>
      </c>
      <c r="L139" s="1" t="s">
        <v>38</v>
      </c>
      <c r="M139" s="1" t="s">
        <v>18</v>
      </c>
    </row>
    <row r="140" spans="1:13" ht="15.75" customHeight="1">
      <c r="A140" s="1" t="s">
        <v>178</v>
      </c>
      <c r="B140" s="1" t="s">
        <v>24</v>
      </c>
      <c r="C140" s="4">
        <v>45725</v>
      </c>
      <c r="D140" s="1" t="s">
        <v>15</v>
      </c>
      <c r="E140" s="1" t="s">
        <v>50</v>
      </c>
      <c r="F140" s="7">
        <v>2754</v>
      </c>
      <c r="G140" s="7">
        <v>215</v>
      </c>
      <c r="H140" s="7">
        <v>264</v>
      </c>
      <c r="I140" s="7">
        <v>27762</v>
      </c>
      <c r="J140" s="7">
        <v>70203</v>
      </c>
      <c r="K140" s="7">
        <v>289</v>
      </c>
      <c r="L140" s="1" t="s">
        <v>41</v>
      </c>
      <c r="M140" s="1" t="s">
        <v>18</v>
      </c>
    </row>
    <row r="141" spans="1:13" ht="15.75" customHeight="1">
      <c r="A141" s="1" t="s">
        <v>179</v>
      </c>
      <c r="B141" s="1" t="s">
        <v>24</v>
      </c>
      <c r="C141" s="4">
        <v>45531</v>
      </c>
      <c r="D141" s="1" t="s">
        <v>25</v>
      </c>
      <c r="E141" s="1" t="s">
        <v>26</v>
      </c>
      <c r="F141" s="7">
        <v>1856</v>
      </c>
      <c r="G141" s="7">
        <v>357</v>
      </c>
      <c r="H141" s="7">
        <v>348</v>
      </c>
      <c r="I141" s="7">
        <v>29428</v>
      </c>
      <c r="J141" s="7">
        <v>70206</v>
      </c>
      <c r="K141" s="7">
        <v>236</v>
      </c>
      <c r="L141" s="1" t="s">
        <v>27</v>
      </c>
      <c r="M141" s="1" t="s">
        <v>18</v>
      </c>
    </row>
    <row r="142" spans="1:13" ht="15.75" customHeight="1">
      <c r="A142" s="1" t="s">
        <v>180</v>
      </c>
      <c r="B142" s="1" t="s">
        <v>364</v>
      </c>
      <c r="C142" s="4">
        <v>45566</v>
      </c>
      <c r="D142" s="1" t="s">
        <v>56</v>
      </c>
      <c r="E142" s="1" t="s">
        <v>20</v>
      </c>
      <c r="F142" s="7">
        <v>3543</v>
      </c>
      <c r="G142" s="7">
        <v>334</v>
      </c>
      <c r="H142" s="7">
        <v>218</v>
      </c>
      <c r="I142" s="7">
        <v>58007</v>
      </c>
      <c r="J142" s="7">
        <v>24792</v>
      </c>
      <c r="K142" s="7">
        <v>273</v>
      </c>
      <c r="L142" s="1" t="s">
        <v>57</v>
      </c>
      <c r="M142" s="1" t="s">
        <v>58</v>
      </c>
    </row>
    <row r="143" spans="1:13" ht="15.75" customHeight="1">
      <c r="A143" s="1" t="s">
        <v>181</v>
      </c>
      <c r="B143" s="1" t="s">
        <v>14</v>
      </c>
      <c r="C143" s="4">
        <v>45647</v>
      </c>
      <c r="D143" s="1" t="s">
        <v>25</v>
      </c>
      <c r="E143" s="1" t="s">
        <v>26</v>
      </c>
      <c r="F143" s="7">
        <v>4563</v>
      </c>
      <c r="G143" s="7">
        <v>398</v>
      </c>
      <c r="H143" s="7">
        <v>163</v>
      </c>
      <c r="I143" s="7">
        <v>43679</v>
      </c>
      <c r="J143" s="7">
        <v>48760</v>
      </c>
      <c r="K143" s="7">
        <v>92</v>
      </c>
      <c r="L143" s="1" t="s">
        <v>41</v>
      </c>
      <c r="M143" s="1" t="s">
        <v>54</v>
      </c>
    </row>
    <row r="144" spans="1:13" ht="15.75" customHeight="1">
      <c r="A144" s="1" t="s">
        <v>182</v>
      </c>
      <c r="B144" s="1" t="s">
        <v>14</v>
      </c>
      <c r="C144" s="4">
        <v>45460</v>
      </c>
      <c r="D144" s="1" t="s">
        <v>15</v>
      </c>
      <c r="E144" s="1" t="s">
        <v>16</v>
      </c>
      <c r="F144" s="7">
        <v>4283</v>
      </c>
      <c r="G144" s="7">
        <v>471</v>
      </c>
      <c r="H144" s="7">
        <v>156</v>
      </c>
      <c r="I144" s="7">
        <v>53004</v>
      </c>
      <c r="J144" s="7">
        <v>25678</v>
      </c>
      <c r="K144" s="7">
        <v>105</v>
      </c>
      <c r="L144" s="1" t="s">
        <v>21</v>
      </c>
      <c r="M144" s="1" t="s">
        <v>22</v>
      </c>
    </row>
    <row r="145" spans="1:13" ht="15.75" customHeight="1">
      <c r="A145" s="1" t="s">
        <v>183</v>
      </c>
      <c r="B145" s="1" t="s">
        <v>14</v>
      </c>
      <c r="C145" s="4">
        <v>45702</v>
      </c>
      <c r="D145" s="1" t="s">
        <v>15</v>
      </c>
      <c r="E145" s="1" t="s">
        <v>16</v>
      </c>
      <c r="F145" s="7">
        <v>2329</v>
      </c>
      <c r="G145" s="7">
        <v>373</v>
      </c>
      <c r="H145" s="7">
        <v>291</v>
      </c>
      <c r="I145" s="7">
        <v>49577</v>
      </c>
      <c r="J145" s="7">
        <v>28002</v>
      </c>
      <c r="K145" s="7">
        <v>82</v>
      </c>
      <c r="L145" s="1" t="s">
        <v>17</v>
      </c>
      <c r="M145" s="1" t="s">
        <v>18</v>
      </c>
    </row>
    <row r="146" spans="1:13" ht="15.75" customHeight="1">
      <c r="A146" s="1" t="s">
        <v>184</v>
      </c>
      <c r="B146" s="1" t="s">
        <v>24</v>
      </c>
      <c r="C146" s="4">
        <v>45805</v>
      </c>
      <c r="D146" s="1" t="s">
        <v>25</v>
      </c>
      <c r="E146" s="1" t="s">
        <v>40</v>
      </c>
      <c r="F146" s="7">
        <v>4287</v>
      </c>
      <c r="G146" s="7">
        <v>273</v>
      </c>
      <c r="H146" s="7">
        <v>122</v>
      </c>
      <c r="I146" s="7">
        <v>40792</v>
      </c>
      <c r="J146" s="7">
        <v>23878</v>
      </c>
      <c r="K146" s="7">
        <v>277</v>
      </c>
      <c r="L146" s="1" t="s">
        <v>27</v>
      </c>
      <c r="M146" s="1" t="s">
        <v>18</v>
      </c>
    </row>
    <row r="147" spans="1:13" ht="15.75" customHeight="1">
      <c r="A147" s="1" t="s">
        <v>185</v>
      </c>
      <c r="B147" s="1" t="s">
        <v>14</v>
      </c>
      <c r="C147" s="4">
        <v>45799</v>
      </c>
      <c r="D147" s="1" t="s">
        <v>15</v>
      </c>
      <c r="E147" s="1" t="s">
        <v>16</v>
      </c>
      <c r="F147" s="7">
        <v>2633</v>
      </c>
      <c r="G147" s="7">
        <v>318</v>
      </c>
      <c r="H147" s="7">
        <v>380</v>
      </c>
      <c r="I147" s="7">
        <v>40869</v>
      </c>
      <c r="J147" s="7">
        <v>64474</v>
      </c>
      <c r="K147" s="7">
        <v>245</v>
      </c>
      <c r="L147" s="1" t="s">
        <v>21</v>
      </c>
      <c r="M147" s="1" t="s">
        <v>22</v>
      </c>
    </row>
    <row r="148" spans="1:13" ht="15.75" customHeight="1">
      <c r="A148" s="1" t="s">
        <v>186</v>
      </c>
      <c r="B148" s="1" t="s">
        <v>24</v>
      </c>
      <c r="C148" s="4">
        <v>45312</v>
      </c>
      <c r="D148" s="1" t="s">
        <v>25</v>
      </c>
      <c r="E148" s="1" t="s">
        <v>16</v>
      </c>
      <c r="F148" s="7">
        <v>2383</v>
      </c>
      <c r="G148" s="7">
        <v>136</v>
      </c>
      <c r="H148" s="7">
        <v>302</v>
      </c>
      <c r="I148" s="7">
        <v>39187</v>
      </c>
      <c r="J148" s="7">
        <v>22133</v>
      </c>
      <c r="K148" s="7">
        <v>208</v>
      </c>
      <c r="L148" s="1" t="s">
        <v>27</v>
      </c>
      <c r="M148" s="1" t="s">
        <v>18</v>
      </c>
    </row>
    <row r="149" spans="1:13" ht="15.75" customHeight="1">
      <c r="A149" s="1" t="s">
        <v>187</v>
      </c>
      <c r="B149" s="1" t="s">
        <v>24</v>
      </c>
      <c r="C149" s="4">
        <v>45696</v>
      </c>
      <c r="D149" s="1" t="s">
        <v>25</v>
      </c>
      <c r="E149" s="1" t="s">
        <v>50</v>
      </c>
      <c r="F149" s="7">
        <v>4752</v>
      </c>
      <c r="G149" s="7">
        <v>334</v>
      </c>
      <c r="H149" s="7">
        <v>56</v>
      </c>
      <c r="I149" s="7">
        <v>48017</v>
      </c>
      <c r="J149" s="7">
        <v>55534</v>
      </c>
      <c r="K149" s="7">
        <v>270</v>
      </c>
      <c r="L149" s="1" t="s">
        <v>38</v>
      </c>
      <c r="M149" s="1" t="s">
        <v>18</v>
      </c>
    </row>
    <row r="150" spans="1:13" ht="15.75" customHeight="1">
      <c r="A150" s="1" t="s">
        <v>188</v>
      </c>
      <c r="B150" s="1" t="s">
        <v>24</v>
      </c>
      <c r="C150" s="4">
        <v>45760</v>
      </c>
      <c r="D150" s="1" t="s">
        <v>15</v>
      </c>
      <c r="E150" s="1" t="s">
        <v>48</v>
      </c>
      <c r="F150" s="7">
        <v>3890</v>
      </c>
      <c r="G150" s="7">
        <v>408</v>
      </c>
      <c r="H150" s="7">
        <v>338</v>
      </c>
      <c r="I150" s="7">
        <v>56994</v>
      </c>
      <c r="J150" s="7">
        <v>32621</v>
      </c>
      <c r="K150" s="7">
        <v>286</v>
      </c>
      <c r="L150" s="1" t="s">
        <v>44</v>
      </c>
      <c r="M150" s="1" t="s">
        <v>22</v>
      </c>
    </row>
    <row r="151" spans="1:13" ht="15.75" customHeight="1">
      <c r="A151" s="1" t="s">
        <v>189</v>
      </c>
      <c r="B151" s="1" t="s">
        <v>24</v>
      </c>
      <c r="C151" s="4">
        <v>45442</v>
      </c>
      <c r="D151" s="1" t="s">
        <v>25</v>
      </c>
      <c r="E151" s="1" t="s">
        <v>50</v>
      </c>
      <c r="F151" s="7">
        <v>2311</v>
      </c>
      <c r="G151" s="7">
        <v>207</v>
      </c>
      <c r="H151" s="7">
        <v>363</v>
      </c>
      <c r="I151" s="7">
        <v>30349</v>
      </c>
      <c r="J151" s="7">
        <v>32925</v>
      </c>
      <c r="K151" s="7">
        <v>88</v>
      </c>
      <c r="L151" s="1" t="s">
        <v>27</v>
      </c>
      <c r="M151" s="1" t="s">
        <v>18</v>
      </c>
    </row>
    <row r="152" spans="1:13" ht="15.75" customHeight="1">
      <c r="A152" s="1" t="s">
        <v>190</v>
      </c>
      <c r="B152" s="1" t="s">
        <v>14</v>
      </c>
      <c r="C152" s="4">
        <v>45516</v>
      </c>
      <c r="D152" s="1" t="s">
        <v>25</v>
      </c>
      <c r="E152" s="1" t="s">
        <v>16</v>
      </c>
      <c r="F152" s="7">
        <v>2962</v>
      </c>
      <c r="G152" s="7">
        <v>400</v>
      </c>
      <c r="H152" s="7">
        <v>280</v>
      </c>
      <c r="I152" s="7">
        <v>52508</v>
      </c>
      <c r="J152" s="7">
        <v>58329</v>
      </c>
      <c r="K152" s="7">
        <v>219</v>
      </c>
      <c r="L152" s="1" t="s">
        <v>41</v>
      </c>
      <c r="M152" s="1" t="s">
        <v>54</v>
      </c>
    </row>
    <row r="153" spans="1:13" ht="15.75" customHeight="1">
      <c r="A153" s="1" t="s">
        <v>191</v>
      </c>
      <c r="B153" s="1" t="s">
        <v>14</v>
      </c>
      <c r="C153" s="4">
        <v>45562</v>
      </c>
      <c r="D153" s="1" t="s">
        <v>15</v>
      </c>
      <c r="E153" s="1" t="s">
        <v>16</v>
      </c>
      <c r="F153" s="7">
        <v>3118</v>
      </c>
      <c r="G153" s="7">
        <v>116</v>
      </c>
      <c r="H153" s="7">
        <v>195</v>
      </c>
      <c r="I153" s="7">
        <v>37100</v>
      </c>
      <c r="J153" s="7">
        <v>62629</v>
      </c>
      <c r="K153" s="7">
        <v>272</v>
      </c>
      <c r="L153" s="1" t="s">
        <v>21</v>
      </c>
      <c r="M153" s="1" t="s">
        <v>22</v>
      </c>
    </row>
    <row r="154" spans="1:13" ht="15.75" customHeight="1">
      <c r="A154" s="1" t="s">
        <v>192</v>
      </c>
      <c r="B154" s="1" t="s">
        <v>24</v>
      </c>
      <c r="C154" s="4">
        <v>45819</v>
      </c>
      <c r="D154" s="1" t="s">
        <v>25</v>
      </c>
      <c r="E154" s="1" t="s">
        <v>20</v>
      </c>
      <c r="F154" s="7">
        <v>3805</v>
      </c>
      <c r="G154" s="7">
        <v>453</v>
      </c>
      <c r="H154" s="7">
        <v>63</v>
      </c>
      <c r="I154" s="7">
        <v>52395</v>
      </c>
      <c r="J154" s="7">
        <v>72934</v>
      </c>
      <c r="K154" s="7">
        <v>87</v>
      </c>
      <c r="L154" s="1" t="s">
        <v>38</v>
      </c>
      <c r="M154" s="1" t="s">
        <v>18</v>
      </c>
    </row>
    <row r="155" spans="1:13" ht="15.75" customHeight="1">
      <c r="A155" s="1" t="s">
        <v>193</v>
      </c>
      <c r="B155" s="1" t="s">
        <v>14</v>
      </c>
      <c r="C155" s="4">
        <v>45615</v>
      </c>
      <c r="D155" s="1" t="s">
        <v>15</v>
      </c>
      <c r="E155" s="1" t="s">
        <v>34</v>
      </c>
      <c r="F155" s="7">
        <v>2525</v>
      </c>
      <c r="G155" s="7">
        <v>272</v>
      </c>
      <c r="H155" s="7">
        <v>294</v>
      </c>
      <c r="I155" s="7">
        <v>51875</v>
      </c>
      <c r="J155" s="7">
        <v>24732</v>
      </c>
      <c r="K155" s="7">
        <v>92</v>
      </c>
      <c r="L155" s="1" t="s">
        <v>21</v>
      </c>
      <c r="M155" s="1" t="s">
        <v>22</v>
      </c>
    </row>
    <row r="156" spans="1:13" ht="15.75" customHeight="1">
      <c r="A156" s="1" t="s">
        <v>194</v>
      </c>
      <c r="B156" s="1" t="s">
        <v>14</v>
      </c>
      <c r="C156" s="4">
        <v>45407</v>
      </c>
      <c r="D156" s="1" t="s">
        <v>15</v>
      </c>
      <c r="E156" s="1" t="s">
        <v>31</v>
      </c>
      <c r="F156" s="7">
        <v>3563</v>
      </c>
      <c r="G156" s="7">
        <v>483</v>
      </c>
      <c r="H156" s="7">
        <v>227</v>
      </c>
      <c r="I156" s="7">
        <v>41085</v>
      </c>
      <c r="J156" s="7">
        <v>26393</v>
      </c>
      <c r="K156" s="7">
        <v>236</v>
      </c>
      <c r="L156" s="1" t="s">
        <v>17</v>
      </c>
      <c r="M156" s="1" t="s">
        <v>18</v>
      </c>
    </row>
    <row r="157" spans="1:13" ht="15.75" customHeight="1">
      <c r="A157" s="1" t="s">
        <v>195</v>
      </c>
      <c r="B157" s="1" t="s">
        <v>364</v>
      </c>
      <c r="C157" s="4">
        <v>45538</v>
      </c>
      <c r="D157" s="1" t="s">
        <v>56</v>
      </c>
      <c r="E157" s="1" t="s">
        <v>34</v>
      </c>
      <c r="F157" s="7">
        <v>1437</v>
      </c>
      <c r="G157" s="7">
        <v>494</v>
      </c>
      <c r="H157" s="7">
        <v>129</v>
      </c>
      <c r="I157" s="7">
        <v>53048</v>
      </c>
      <c r="J157" s="7">
        <v>44090</v>
      </c>
      <c r="K157" s="7">
        <v>230</v>
      </c>
      <c r="L157" s="1" t="s">
        <v>57</v>
      </c>
      <c r="M157" s="1" t="s">
        <v>58</v>
      </c>
    </row>
    <row r="158" spans="1:13" ht="15.75" customHeight="1">
      <c r="A158" s="1" t="s">
        <v>196</v>
      </c>
      <c r="B158" s="1" t="s">
        <v>364</v>
      </c>
      <c r="C158" s="4">
        <v>45718</v>
      </c>
      <c r="D158" s="1" t="s">
        <v>15</v>
      </c>
      <c r="E158" s="1" t="s">
        <v>48</v>
      </c>
      <c r="F158" s="7">
        <v>4425</v>
      </c>
      <c r="G158" s="7">
        <v>185</v>
      </c>
      <c r="H158" s="7">
        <v>162</v>
      </c>
      <c r="I158" s="7">
        <v>24610</v>
      </c>
      <c r="J158" s="7">
        <v>21342</v>
      </c>
      <c r="K158" s="7">
        <v>158</v>
      </c>
      <c r="L158" s="1" t="s">
        <v>32</v>
      </c>
      <c r="M158" s="1" t="s">
        <v>22</v>
      </c>
    </row>
    <row r="159" spans="1:13" ht="15.75" customHeight="1">
      <c r="A159" s="1" t="s">
        <v>197</v>
      </c>
      <c r="B159" s="1" t="s">
        <v>24</v>
      </c>
      <c r="C159" s="4">
        <v>45737</v>
      </c>
      <c r="D159" s="1" t="s">
        <v>25</v>
      </c>
      <c r="E159" s="1" t="s">
        <v>26</v>
      </c>
      <c r="F159" s="7">
        <v>4609</v>
      </c>
      <c r="G159" s="7">
        <v>427</v>
      </c>
      <c r="H159" s="7">
        <v>395</v>
      </c>
      <c r="I159" s="7">
        <v>33698</v>
      </c>
      <c r="J159" s="7">
        <v>29259</v>
      </c>
      <c r="K159" s="7">
        <v>216</v>
      </c>
      <c r="L159" s="1" t="s">
        <v>38</v>
      </c>
      <c r="M159" s="1" t="s">
        <v>18</v>
      </c>
    </row>
    <row r="160" spans="1:13" ht="15.75" customHeight="1">
      <c r="A160" s="1" t="s">
        <v>198</v>
      </c>
      <c r="B160" s="1" t="s">
        <v>14</v>
      </c>
      <c r="C160" s="4">
        <v>45394</v>
      </c>
      <c r="D160" s="1" t="s">
        <v>25</v>
      </c>
      <c r="E160" s="1" t="s">
        <v>36</v>
      </c>
      <c r="F160" s="7">
        <v>1558</v>
      </c>
      <c r="G160" s="7">
        <v>352</v>
      </c>
      <c r="H160" s="7">
        <v>202</v>
      </c>
      <c r="I160" s="7">
        <v>25405</v>
      </c>
      <c r="J160" s="7">
        <v>69941</v>
      </c>
      <c r="K160" s="7">
        <v>219</v>
      </c>
      <c r="L160" s="1" t="s">
        <v>41</v>
      </c>
      <c r="M160" s="1" t="s">
        <v>54</v>
      </c>
    </row>
    <row r="161" spans="1:13" ht="15.75" customHeight="1">
      <c r="A161" s="1" t="s">
        <v>199</v>
      </c>
      <c r="B161" s="1" t="s">
        <v>364</v>
      </c>
      <c r="C161" s="4">
        <v>45330</v>
      </c>
      <c r="D161" s="1" t="s">
        <v>56</v>
      </c>
      <c r="E161" s="1" t="s">
        <v>40</v>
      </c>
      <c r="F161" s="7">
        <v>1889</v>
      </c>
      <c r="G161" s="7">
        <v>298</v>
      </c>
      <c r="H161" s="7">
        <v>122</v>
      </c>
      <c r="I161" s="7">
        <v>46225</v>
      </c>
      <c r="J161" s="7">
        <v>74305</v>
      </c>
      <c r="K161" s="7">
        <v>293</v>
      </c>
      <c r="L161" s="1" t="s">
        <v>57</v>
      </c>
      <c r="M161" s="1" t="s">
        <v>58</v>
      </c>
    </row>
    <row r="162" spans="1:13" ht="15.75" customHeight="1">
      <c r="A162" s="1" t="s">
        <v>200</v>
      </c>
      <c r="B162" s="1" t="s">
        <v>14</v>
      </c>
      <c r="C162" s="4">
        <v>45803</v>
      </c>
      <c r="D162" s="1" t="s">
        <v>15</v>
      </c>
      <c r="E162" s="1" t="s">
        <v>16</v>
      </c>
      <c r="F162" s="7">
        <v>3086</v>
      </c>
      <c r="G162" s="7">
        <v>148</v>
      </c>
      <c r="H162" s="7">
        <v>310</v>
      </c>
      <c r="I162" s="7">
        <v>22824</v>
      </c>
      <c r="J162" s="7">
        <v>58103</v>
      </c>
      <c r="K162" s="7">
        <v>275</v>
      </c>
      <c r="L162" s="1" t="s">
        <v>21</v>
      </c>
      <c r="M162" s="1" t="s">
        <v>22</v>
      </c>
    </row>
    <row r="163" spans="1:13" ht="15.75" customHeight="1">
      <c r="A163" s="1" t="s">
        <v>201</v>
      </c>
      <c r="B163" s="1" t="s">
        <v>14</v>
      </c>
      <c r="C163" s="4">
        <v>45610</v>
      </c>
      <c r="D163" s="1" t="s">
        <v>15</v>
      </c>
      <c r="E163" s="1" t="s">
        <v>31</v>
      </c>
      <c r="F163" s="7">
        <v>2422</v>
      </c>
      <c r="G163" s="7">
        <v>318</v>
      </c>
      <c r="H163" s="7">
        <v>118</v>
      </c>
      <c r="I163" s="7">
        <v>25386</v>
      </c>
      <c r="J163" s="7">
        <v>20873</v>
      </c>
      <c r="K163" s="7">
        <v>100</v>
      </c>
      <c r="L163" s="1" t="s">
        <v>17</v>
      </c>
      <c r="M163" s="1" t="s">
        <v>18</v>
      </c>
    </row>
    <row r="164" spans="1:13" ht="15.75" customHeight="1">
      <c r="A164" s="1" t="s">
        <v>202</v>
      </c>
      <c r="B164" s="1" t="s">
        <v>364</v>
      </c>
      <c r="C164" s="4">
        <v>45513</v>
      </c>
      <c r="D164" s="1" t="s">
        <v>56</v>
      </c>
      <c r="E164" s="1" t="s">
        <v>48</v>
      </c>
      <c r="F164" s="7">
        <v>3414</v>
      </c>
      <c r="G164" s="7">
        <v>154</v>
      </c>
      <c r="H164" s="7">
        <v>204</v>
      </c>
      <c r="I164" s="7">
        <v>34146</v>
      </c>
      <c r="J164" s="7">
        <v>44633</v>
      </c>
      <c r="K164" s="7">
        <v>256</v>
      </c>
      <c r="L164" s="1" t="s">
        <v>57</v>
      </c>
      <c r="M164" s="1" t="s">
        <v>58</v>
      </c>
    </row>
    <row r="165" spans="1:13" ht="15.75" customHeight="1">
      <c r="A165" s="1" t="s">
        <v>203</v>
      </c>
      <c r="B165" s="1" t="s">
        <v>14</v>
      </c>
      <c r="C165" s="4">
        <v>45835</v>
      </c>
      <c r="D165" s="1" t="s">
        <v>25</v>
      </c>
      <c r="E165" s="1" t="s">
        <v>34</v>
      </c>
      <c r="F165" s="7">
        <v>1342</v>
      </c>
      <c r="G165" s="7">
        <v>332</v>
      </c>
      <c r="H165" s="7">
        <v>163</v>
      </c>
      <c r="I165" s="7">
        <v>51712</v>
      </c>
      <c r="J165" s="7">
        <v>57922</v>
      </c>
      <c r="K165" s="7">
        <v>168</v>
      </c>
      <c r="L165" s="1" t="s">
        <v>41</v>
      </c>
      <c r="M165" s="1" t="s">
        <v>54</v>
      </c>
    </row>
    <row r="166" spans="1:13" ht="15.75" customHeight="1">
      <c r="A166" s="1" t="s">
        <v>204</v>
      </c>
      <c r="B166" s="1" t="s">
        <v>14</v>
      </c>
      <c r="C166" s="4">
        <v>45420</v>
      </c>
      <c r="D166" s="1" t="s">
        <v>25</v>
      </c>
      <c r="E166" s="1" t="s">
        <v>31</v>
      </c>
      <c r="F166" s="7">
        <v>2414</v>
      </c>
      <c r="G166" s="7">
        <v>220</v>
      </c>
      <c r="H166" s="7">
        <v>280</v>
      </c>
      <c r="I166" s="7">
        <v>27355</v>
      </c>
      <c r="J166" s="7">
        <v>50562</v>
      </c>
      <c r="K166" s="7">
        <v>258</v>
      </c>
      <c r="L166" s="1" t="s">
        <v>41</v>
      </c>
      <c r="M166" s="1" t="s">
        <v>54</v>
      </c>
    </row>
    <row r="167" spans="1:13" ht="15.75" customHeight="1">
      <c r="A167" s="1" t="s">
        <v>205</v>
      </c>
      <c r="B167" s="1" t="s">
        <v>14</v>
      </c>
      <c r="C167" s="4">
        <v>45387</v>
      </c>
      <c r="D167" s="1" t="s">
        <v>15</v>
      </c>
      <c r="E167" s="1" t="s">
        <v>26</v>
      </c>
      <c r="F167" s="7">
        <v>4383</v>
      </c>
      <c r="G167" s="7">
        <v>352</v>
      </c>
      <c r="H167" s="7">
        <v>176</v>
      </c>
      <c r="I167" s="7">
        <v>53239</v>
      </c>
      <c r="J167" s="7">
        <v>34168</v>
      </c>
      <c r="K167" s="7">
        <v>288</v>
      </c>
      <c r="L167" s="1" t="s">
        <v>21</v>
      </c>
      <c r="M167" s="1" t="s">
        <v>22</v>
      </c>
    </row>
    <row r="168" spans="1:13" ht="15.75" customHeight="1">
      <c r="A168" s="1" t="s">
        <v>206</v>
      </c>
      <c r="B168" s="1" t="s">
        <v>364</v>
      </c>
      <c r="C168" s="4">
        <v>45684</v>
      </c>
      <c r="D168" s="1" t="s">
        <v>15</v>
      </c>
      <c r="E168" s="1" t="s">
        <v>29</v>
      </c>
      <c r="F168" s="7">
        <v>4294</v>
      </c>
      <c r="G168" s="7">
        <v>423</v>
      </c>
      <c r="H168" s="7">
        <v>93</v>
      </c>
      <c r="I168" s="7">
        <v>29828</v>
      </c>
      <c r="J168" s="7">
        <v>73144</v>
      </c>
      <c r="K168" s="7">
        <v>298</v>
      </c>
      <c r="L168" s="1" t="s">
        <v>32</v>
      </c>
      <c r="M168" s="1" t="s">
        <v>22</v>
      </c>
    </row>
    <row r="169" spans="1:13" ht="15.75" customHeight="1">
      <c r="A169" s="1" t="s">
        <v>207</v>
      </c>
      <c r="B169" s="1" t="s">
        <v>14</v>
      </c>
      <c r="C169" s="4">
        <v>45385</v>
      </c>
      <c r="D169" s="1" t="s">
        <v>15</v>
      </c>
      <c r="E169" s="1" t="s">
        <v>40</v>
      </c>
      <c r="F169" s="7">
        <v>2762</v>
      </c>
      <c r="G169" s="7">
        <v>339</v>
      </c>
      <c r="H169" s="7">
        <v>323</v>
      </c>
      <c r="I169" s="7">
        <v>33757</v>
      </c>
      <c r="J169" s="7">
        <v>68511</v>
      </c>
      <c r="K169" s="7">
        <v>121</v>
      </c>
      <c r="L169" s="1" t="s">
        <v>17</v>
      </c>
      <c r="M169" s="1" t="s">
        <v>18</v>
      </c>
    </row>
    <row r="170" spans="1:13" ht="15.75" customHeight="1">
      <c r="A170" s="1" t="s">
        <v>208</v>
      </c>
      <c r="B170" s="1" t="s">
        <v>364</v>
      </c>
      <c r="C170" s="4">
        <v>45660</v>
      </c>
      <c r="D170" s="1" t="s">
        <v>15</v>
      </c>
      <c r="E170" s="1" t="s">
        <v>26</v>
      </c>
      <c r="F170" s="7">
        <v>3782</v>
      </c>
      <c r="G170" s="7">
        <v>484</v>
      </c>
      <c r="H170" s="7">
        <v>144</v>
      </c>
      <c r="I170" s="7">
        <v>52172</v>
      </c>
      <c r="J170" s="7">
        <v>59386</v>
      </c>
      <c r="K170" s="7">
        <v>175</v>
      </c>
      <c r="L170" s="1" t="s">
        <v>32</v>
      </c>
      <c r="M170" s="1" t="s">
        <v>22</v>
      </c>
    </row>
    <row r="171" spans="1:13" ht="15.75" customHeight="1">
      <c r="A171" s="1" t="s">
        <v>209</v>
      </c>
      <c r="B171" s="1" t="s">
        <v>24</v>
      </c>
      <c r="C171" s="4">
        <v>45619</v>
      </c>
      <c r="D171" s="1" t="s">
        <v>15</v>
      </c>
      <c r="E171" s="1" t="s">
        <v>26</v>
      </c>
      <c r="F171" s="7">
        <v>4318</v>
      </c>
      <c r="G171" s="7">
        <v>371</v>
      </c>
      <c r="H171" s="7">
        <v>329</v>
      </c>
      <c r="I171" s="7">
        <v>32347</v>
      </c>
      <c r="J171" s="7">
        <v>68956</v>
      </c>
      <c r="K171" s="7">
        <v>259</v>
      </c>
      <c r="L171" s="1" t="s">
        <v>44</v>
      </c>
      <c r="M171" s="1" t="s">
        <v>22</v>
      </c>
    </row>
    <row r="172" spans="1:13" ht="15.75" customHeight="1">
      <c r="A172" s="1" t="s">
        <v>210</v>
      </c>
      <c r="B172" s="1" t="s">
        <v>14</v>
      </c>
      <c r="C172" s="4">
        <v>45536</v>
      </c>
      <c r="D172" s="1" t="s">
        <v>25</v>
      </c>
      <c r="E172" s="1" t="s">
        <v>29</v>
      </c>
      <c r="F172" s="7">
        <v>2335</v>
      </c>
      <c r="G172" s="7">
        <v>150</v>
      </c>
      <c r="H172" s="7">
        <v>75</v>
      </c>
      <c r="I172" s="7">
        <v>26114</v>
      </c>
      <c r="J172" s="7">
        <v>57549</v>
      </c>
      <c r="K172" s="7">
        <v>135</v>
      </c>
      <c r="L172" s="1" t="s">
        <v>41</v>
      </c>
      <c r="M172" s="1" t="s">
        <v>54</v>
      </c>
    </row>
    <row r="173" spans="1:13" ht="15.75" customHeight="1">
      <c r="A173" s="1" t="s">
        <v>211</v>
      </c>
      <c r="B173" s="1" t="s">
        <v>364</v>
      </c>
      <c r="C173" s="4">
        <v>45400</v>
      </c>
      <c r="D173" s="1" t="s">
        <v>15</v>
      </c>
      <c r="E173" s="1" t="s">
        <v>20</v>
      </c>
      <c r="F173" s="7">
        <v>4023</v>
      </c>
      <c r="G173" s="7">
        <v>293</v>
      </c>
      <c r="H173" s="7">
        <v>91</v>
      </c>
      <c r="I173" s="7">
        <v>26795</v>
      </c>
      <c r="J173" s="7">
        <v>28924</v>
      </c>
      <c r="K173" s="7">
        <v>278</v>
      </c>
      <c r="L173" s="1" t="s">
        <v>32</v>
      </c>
      <c r="M173" s="1" t="s">
        <v>22</v>
      </c>
    </row>
    <row r="174" spans="1:13" ht="15.75" customHeight="1">
      <c r="A174" s="1" t="s">
        <v>212</v>
      </c>
      <c r="B174" s="1" t="s">
        <v>14</v>
      </c>
      <c r="C174" s="4">
        <v>45447</v>
      </c>
      <c r="D174" s="1" t="s">
        <v>15</v>
      </c>
      <c r="E174" s="1" t="s">
        <v>36</v>
      </c>
      <c r="F174" s="7">
        <v>3948</v>
      </c>
      <c r="G174" s="7">
        <v>151</v>
      </c>
      <c r="H174" s="7">
        <v>249</v>
      </c>
      <c r="I174" s="7">
        <v>43147</v>
      </c>
      <c r="J174" s="7">
        <v>63136</v>
      </c>
      <c r="K174" s="7">
        <v>230</v>
      </c>
      <c r="L174" s="1" t="s">
        <v>21</v>
      </c>
      <c r="M174" s="1" t="s">
        <v>22</v>
      </c>
    </row>
    <row r="175" spans="1:13" ht="15.75" customHeight="1">
      <c r="A175" s="1" t="s">
        <v>213</v>
      </c>
      <c r="B175" s="1" t="s">
        <v>364</v>
      </c>
      <c r="C175" s="4">
        <v>45749</v>
      </c>
      <c r="D175" s="1" t="s">
        <v>15</v>
      </c>
      <c r="E175" s="1" t="s">
        <v>29</v>
      </c>
      <c r="F175" s="7">
        <v>4598</v>
      </c>
      <c r="G175" s="7">
        <v>455</v>
      </c>
      <c r="H175" s="7">
        <v>378</v>
      </c>
      <c r="I175" s="7">
        <v>52952</v>
      </c>
      <c r="J175" s="7">
        <v>58504</v>
      </c>
      <c r="K175" s="7">
        <v>269</v>
      </c>
      <c r="L175" s="1" t="s">
        <v>32</v>
      </c>
      <c r="M175" s="1" t="s">
        <v>22</v>
      </c>
    </row>
    <row r="176" spans="1:13" ht="15.75" customHeight="1">
      <c r="A176" s="1" t="s">
        <v>214</v>
      </c>
      <c r="B176" s="1" t="s">
        <v>24</v>
      </c>
      <c r="C176" s="4">
        <v>45748</v>
      </c>
      <c r="D176" s="1" t="s">
        <v>25</v>
      </c>
      <c r="E176" s="1" t="s">
        <v>31</v>
      </c>
      <c r="F176" s="7">
        <v>2665</v>
      </c>
      <c r="G176" s="7">
        <v>143</v>
      </c>
      <c r="H176" s="7">
        <v>315</v>
      </c>
      <c r="I176" s="7">
        <v>54808</v>
      </c>
      <c r="J176" s="7">
        <v>29818</v>
      </c>
      <c r="K176" s="7">
        <v>98</v>
      </c>
      <c r="L176" s="1" t="s">
        <v>38</v>
      </c>
      <c r="M176" s="1" t="s">
        <v>18</v>
      </c>
    </row>
    <row r="177" spans="1:13" ht="15.75" customHeight="1">
      <c r="A177" s="1" t="s">
        <v>215</v>
      </c>
      <c r="B177" s="1" t="s">
        <v>14</v>
      </c>
      <c r="C177" s="4">
        <v>45475</v>
      </c>
      <c r="D177" s="1" t="s">
        <v>15</v>
      </c>
      <c r="E177" s="1" t="s">
        <v>40</v>
      </c>
      <c r="F177" s="7">
        <v>3469</v>
      </c>
      <c r="G177" s="7">
        <v>371</v>
      </c>
      <c r="H177" s="7">
        <v>76</v>
      </c>
      <c r="I177" s="7">
        <v>46493</v>
      </c>
      <c r="J177" s="7">
        <v>26906</v>
      </c>
      <c r="K177" s="7">
        <v>150</v>
      </c>
      <c r="L177" s="1" t="s">
        <v>17</v>
      </c>
      <c r="M177" s="1" t="s">
        <v>18</v>
      </c>
    </row>
    <row r="178" spans="1:13" ht="15.75" customHeight="1">
      <c r="A178" s="1" t="s">
        <v>216</v>
      </c>
      <c r="B178" s="1" t="s">
        <v>24</v>
      </c>
      <c r="C178" s="4">
        <v>45606</v>
      </c>
      <c r="D178" s="1" t="s">
        <v>15</v>
      </c>
      <c r="E178" s="1" t="s">
        <v>20</v>
      </c>
      <c r="F178" s="7">
        <v>4823</v>
      </c>
      <c r="G178" s="7">
        <v>489</v>
      </c>
      <c r="H178" s="7">
        <v>302</v>
      </c>
      <c r="I178" s="7">
        <v>32470</v>
      </c>
      <c r="J178" s="7">
        <v>31861</v>
      </c>
      <c r="K178" s="7">
        <v>178</v>
      </c>
      <c r="L178" s="1" t="s">
        <v>44</v>
      </c>
      <c r="M178" s="1" t="s">
        <v>22</v>
      </c>
    </row>
    <row r="179" spans="1:13" ht="15.75" customHeight="1">
      <c r="A179" s="1" t="s">
        <v>217</v>
      </c>
      <c r="B179" s="1" t="s">
        <v>14</v>
      </c>
      <c r="C179" s="4">
        <v>45640</v>
      </c>
      <c r="D179" s="1" t="s">
        <v>25</v>
      </c>
      <c r="E179" s="1" t="s">
        <v>48</v>
      </c>
      <c r="F179" s="7">
        <v>3812</v>
      </c>
      <c r="G179" s="7">
        <v>321</v>
      </c>
      <c r="H179" s="7">
        <v>289</v>
      </c>
      <c r="I179" s="7">
        <v>59838</v>
      </c>
      <c r="J179" s="7">
        <v>36337</v>
      </c>
      <c r="K179" s="7">
        <v>161</v>
      </c>
      <c r="L179" s="1" t="s">
        <v>41</v>
      </c>
      <c r="M179" s="1" t="s">
        <v>54</v>
      </c>
    </row>
    <row r="180" spans="1:13" ht="15.75" customHeight="1">
      <c r="A180" s="1" t="s">
        <v>218</v>
      </c>
      <c r="B180" s="1" t="s">
        <v>24</v>
      </c>
      <c r="C180" s="4">
        <v>45615</v>
      </c>
      <c r="D180" s="1" t="s">
        <v>15</v>
      </c>
      <c r="E180" s="1" t="s">
        <v>20</v>
      </c>
      <c r="F180" s="7">
        <v>2387</v>
      </c>
      <c r="G180" s="7">
        <v>353</v>
      </c>
      <c r="H180" s="7">
        <v>78</v>
      </c>
      <c r="I180" s="7">
        <v>39745</v>
      </c>
      <c r="J180" s="7">
        <v>69226</v>
      </c>
      <c r="K180" s="7">
        <v>208</v>
      </c>
      <c r="L180" s="1" t="s">
        <v>44</v>
      </c>
      <c r="M180" s="1" t="s">
        <v>22</v>
      </c>
    </row>
    <row r="181" spans="1:13" ht="15.75" customHeight="1">
      <c r="A181" s="1" t="s">
        <v>219</v>
      </c>
      <c r="B181" s="1" t="s">
        <v>24</v>
      </c>
      <c r="C181" s="4">
        <v>45777</v>
      </c>
      <c r="D181" s="1" t="s">
        <v>25</v>
      </c>
      <c r="E181" s="1" t="s">
        <v>29</v>
      </c>
      <c r="F181" s="7">
        <v>3929</v>
      </c>
      <c r="G181" s="7">
        <v>275</v>
      </c>
      <c r="H181" s="7">
        <v>330</v>
      </c>
      <c r="I181" s="7">
        <v>58329</v>
      </c>
      <c r="J181" s="7">
        <v>33196</v>
      </c>
      <c r="K181" s="7">
        <v>85</v>
      </c>
      <c r="L181" s="1" t="s">
        <v>27</v>
      </c>
      <c r="M181" s="1" t="s">
        <v>18</v>
      </c>
    </row>
    <row r="182" spans="1:13" ht="15.75" customHeight="1">
      <c r="A182" s="1" t="s">
        <v>220</v>
      </c>
      <c r="B182" s="1" t="s">
        <v>24</v>
      </c>
      <c r="C182" s="4">
        <v>45370</v>
      </c>
      <c r="D182" s="1" t="s">
        <v>15</v>
      </c>
      <c r="E182" s="1" t="s">
        <v>48</v>
      </c>
      <c r="F182" s="7">
        <v>2191</v>
      </c>
      <c r="G182" s="7">
        <v>288</v>
      </c>
      <c r="H182" s="7">
        <v>83</v>
      </c>
      <c r="I182" s="7">
        <v>59606</v>
      </c>
      <c r="J182" s="7">
        <v>24765</v>
      </c>
      <c r="K182" s="7">
        <v>281</v>
      </c>
      <c r="L182" s="1" t="s">
        <v>44</v>
      </c>
      <c r="M182" s="1" t="s">
        <v>22</v>
      </c>
    </row>
    <row r="183" spans="1:13" ht="15.75" customHeight="1">
      <c r="A183" s="1" t="s">
        <v>221</v>
      </c>
      <c r="B183" s="1" t="s">
        <v>14</v>
      </c>
      <c r="C183" s="4">
        <v>45370</v>
      </c>
      <c r="D183" s="1" t="s">
        <v>15</v>
      </c>
      <c r="E183" s="1" t="s">
        <v>48</v>
      </c>
      <c r="F183" s="7">
        <v>2878</v>
      </c>
      <c r="G183" s="7">
        <v>278</v>
      </c>
      <c r="H183" s="7">
        <v>255</v>
      </c>
      <c r="I183" s="7">
        <v>47235</v>
      </c>
      <c r="J183" s="7">
        <v>57922</v>
      </c>
      <c r="K183" s="7">
        <v>112</v>
      </c>
      <c r="L183" s="1" t="s">
        <v>17</v>
      </c>
      <c r="M183" s="1" t="s">
        <v>18</v>
      </c>
    </row>
    <row r="184" spans="1:13" ht="15.75" customHeight="1">
      <c r="A184" s="1" t="s">
        <v>222</v>
      </c>
      <c r="B184" s="1" t="s">
        <v>24</v>
      </c>
      <c r="C184" s="4">
        <v>45496</v>
      </c>
      <c r="D184" s="1" t="s">
        <v>15</v>
      </c>
      <c r="E184" s="1" t="s">
        <v>40</v>
      </c>
      <c r="F184" s="7">
        <v>3204</v>
      </c>
      <c r="G184" s="7">
        <v>398</v>
      </c>
      <c r="H184" s="7">
        <v>85</v>
      </c>
      <c r="I184" s="7">
        <v>22020</v>
      </c>
      <c r="J184" s="7">
        <v>58353</v>
      </c>
      <c r="K184" s="7">
        <v>286</v>
      </c>
      <c r="L184" s="1" t="s">
        <v>44</v>
      </c>
      <c r="M184" s="1" t="s">
        <v>22</v>
      </c>
    </row>
    <row r="185" spans="1:13" ht="15.75" customHeight="1">
      <c r="A185" s="1" t="s">
        <v>223</v>
      </c>
      <c r="B185" s="1" t="s">
        <v>24</v>
      </c>
      <c r="C185" s="4">
        <v>45486</v>
      </c>
      <c r="D185" s="1" t="s">
        <v>25</v>
      </c>
      <c r="E185" s="1" t="s">
        <v>36</v>
      </c>
      <c r="F185" s="7">
        <v>2408</v>
      </c>
      <c r="G185" s="7">
        <v>323</v>
      </c>
      <c r="H185" s="7">
        <v>251</v>
      </c>
      <c r="I185" s="7">
        <v>47599</v>
      </c>
      <c r="J185" s="7">
        <v>35543</v>
      </c>
      <c r="K185" s="7">
        <v>287</v>
      </c>
      <c r="L185" s="1" t="s">
        <v>27</v>
      </c>
      <c r="M185" s="1" t="s">
        <v>18</v>
      </c>
    </row>
    <row r="186" spans="1:13" ht="15.75" customHeight="1">
      <c r="A186" s="1" t="s">
        <v>224</v>
      </c>
      <c r="B186" s="1" t="s">
        <v>364</v>
      </c>
      <c r="C186" s="4">
        <v>45769</v>
      </c>
      <c r="D186" s="1" t="s">
        <v>56</v>
      </c>
      <c r="E186" s="1" t="s">
        <v>26</v>
      </c>
      <c r="F186" s="7">
        <v>2733</v>
      </c>
      <c r="G186" s="7">
        <v>297</v>
      </c>
      <c r="H186" s="7">
        <v>235</v>
      </c>
      <c r="I186" s="7">
        <v>37980</v>
      </c>
      <c r="J186" s="7">
        <v>33058</v>
      </c>
      <c r="K186" s="7">
        <v>219</v>
      </c>
      <c r="L186" s="1" t="s">
        <v>57</v>
      </c>
      <c r="M186" s="1" t="s">
        <v>58</v>
      </c>
    </row>
    <row r="187" spans="1:13" ht="15.75" customHeight="1">
      <c r="A187" s="1" t="s">
        <v>225</v>
      </c>
      <c r="B187" s="1" t="s">
        <v>24</v>
      </c>
      <c r="C187" s="4">
        <v>45459</v>
      </c>
      <c r="D187" s="1" t="s">
        <v>25</v>
      </c>
      <c r="E187" s="1" t="s">
        <v>20</v>
      </c>
      <c r="F187" s="7">
        <v>4618</v>
      </c>
      <c r="G187" s="7">
        <v>312</v>
      </c>
      <c r="H187" s="7">
        <v>254</v>
      </c>
      <c r="I187" s="7">
        <v>22571</v>
      </c>
      <c r="J187" s="7">
        <v>29453</v>
      </c>
      <c r="K187" s="7">
        <v>197</v>
      </c>
      <c r="L187" s="1" t="s">
        <v>27</v>
      </c>
      <c r="M187" s="1" t="s">
        <v>18</v>
      </c>
    </row>
    <row r="188" spans="1:13" ht="15.75" customHeight="1">
      <c r="A188" s="1" t="s">
        <v>226</v>
      </c>
      <c r="B188" s="1" t="s">
        <v>364</v>
      </c>
      <c r="C188" s="4">
        <v>45795</v>
      </c>
      <c r="D188" s="1" t="s">
        <v>56</v>
      </c>
      <c r="E188" s="1" t="s">
        <v>29</v>
      </c>
      <c r="F188" s="7">
        <v>4210</v>
      </c>
      <c r="G188" s="7">
        <v>319</v>
      </c>
      <c r="H188" s="7">
        <v>350</v>
      </c>
      <c r="I188" s="7">
        <v>37762</v>
      </c>
      <c r="J188" s="7">
        <v>55162</v>
      </c>
      <c r="K188" s="7">
        <v>204</v>
      </c>
      <c r="L188" s="1" t="s">
        <v>57</v>
      </c>
      <c r="M188" s="1" t="s">
        <v>58</v>
      </c>
    </row>
    <row r="189" spans="1:13" ht="15.75" customHeight="1">
      <c r="A189" s="1" t="s">
        <v>227</v>
      </c>
      <c r="B189" s="1" t="s">
        <v>14</v>
      </c>
      <c r="C189" s="4">
        <v>45814</v>
      </c>
      <c r="D189" s="1" t="s">
        <v>15</v>
      </c>
      <c r="E189" s="1" t="s">
        <v>29</v>
      </c>
      <c r="F189" s="7">
        <v>3987</v>
      </c>
      <c r="G189" s="7">
        <v>171</v>
      </c>
      <c r="H189" s="7">
        <v>274</v>
      </c>
      <c r="I189" s="7">
        <v>45122</v>
      </c>
      <c r="J189" s="7">
        <v>65431</v>
      </c>
      <c r="K189" s="7">
        <v>168</v>
      </c>
      <c r="L189" s="1" t="s">
        <v>21</v>
      </c>
      <c r="M189" s="1" t="s">
        <v>22</v>
      </c>
    </row>
    <row r="190" spans="1:13" ht="15.75" customHeight="1">
      <c r="A190" s="1" t="s">
        <v>228</v>
      </c>
      <c r="B190" s="1" t="s">
        <v>364</v>
      </c>
      <c r="C190" s="4">
        <v>45708</v>
      </c>
      <c r="D190" s="1" t="s">
        <v>56</v>
      </c>
      <c r="E190" s="1" t="s">
        <v>36</v>
      </c>
      <c r="F190" s="7">
        <v>4957</v>
      </c>
      <c r="G190" s="7">
        <v>262</v>
      </c>
      <c r="H190" s="7">
        <v>365</v>
      </c>
      <c r="I190" s="7">
        <v>49199</v>
      </c>
      <c r="J190" s="7">
        <v>40314</v>
      </c>
      <c r="K190" s="7">
        <v>216</v>
      </c>
      <c r="L190" s="1" t="s">
        <v>57</v>
      </c>
      <c r="M190" s="1" t="s">
        <v>58</v>
      </c>
    </row>
    <row r="191" spans="1:13" ht="15.75" customHeight="1">
      <c r="A191" s="1" t="s">
        <v>229</v>
      </c>
      <c r="B191" s="1" t="s">
        <v>14</v>
      </c>
      <c r="C191" s="4">
        <v>45673</v>
      </c>
      <c r="D191" s="1" t="s">
        <v>15</v>
      </c>
      <c r="E191" s="1" t="s">
        <v>31</v>
      </c>
      <c r="F191" s="7">
        <v>2605</v>
      </c>
      <c r="G191" s="7">
        <v>282</v>
      </c>
      <c r="H191" s="7">
        <v>148</v>
      </c>
      <c r="I191" s="7">
        <v>32201</v>
      </c>
      <c r="J191" s="7">
        <v>49583</v>
      </c>
      <c r="K191" s="7">
        <v>241</v>
      </c>
      <c r="L191" s="1" t="s">
        <v>17</v>
      </c>
      <c r="M191" s="1" t="s">
        <v>18</v>
      </c>
    </row>
    <row r="192" spans="1:13" ht="15.75" customHeight="1">
      <c r="A192" s="1" t="s">
        <v>230</v>
      </c>
      <c r="B192" s="1" t="s">
        <v>364</v>
      </c>
      <c r="C192" s="4">
        <v>45346</v>
      </c>
      <c r="D192" s="1" t="s">
        <v>56</v>
      </c>
      <c r="E192" s="1" t="s">
        <v>16</v>
      </c>
      <c r="F192" s="7">
        <v>4221</v>
      </c>
      <c r="G192" s="7">
        <v>307</v>
      </c>
      <c r="H192" s="7">
        <v>58</v>
      </c>
      <c r="I192" s="7">
        <v>45080</v>
      </c>
      <c r="J192" s="7">
        <v>37214</v>
      </c>
      <c r="K192" s="7">
        <v>240</v>
      </c>
      <c r="L192" s="1" t="s">
        <v>57</v>
      </c>
      <c r="M192" s="1" t="s">
        <v>58</v>
      </c>
    </row>
    <row r="193" spans="1:13" ht="15.75" customHeight="1">
      <c r="A193" s="1" t="s">
        <v>231</v>
      </c>
      <c r="B193" s="1" t="s">
        <v>24</v>
      </c>
      <c r="C193" s="4">
        <v>45551</v>
      </c>
      <c r="D193" s="1" t="s">
        <v>25</v>
      </c>
      <c r="E193" s="1" t="s">
        <v>34</v>
      </c>
      <c r="F193" s="7">
        <v>4422</v>
      </c>
      <c r="G193" s="7">
        <v>434</v>
      </c>
      <c r="H193" s="7">
        <v>156</v>
      </c>
      <c r="I193" s="7">
        <v>56165</v>
      </c>
      <c r="J193" s="7">
        <v>52431</v>
      </c>
      <c r="K193" s="7">
        <v>173</v>
      </c>
      <c r="L193" s="1" t="s">
        <v>38</v>
      </c>
      <c r="M193" s="1" t="s">
        <v>18</v>
      </c>
    </row>
    <row r="194" spans="1:13" ht="15.75" customHeight="1">
      <c r="A194" s="1" t="s">
        <v>232</v>
      </c>
      <c r="B194" s="1" t="s">
        <v>364</v>
      </c>
      <c r="C194" s="4">
        <v>45447</v>
      </c>
      <c r="D194" s="1" t="s">
        <v>56</v>
      </c>
      <c r="E194" s="1" t="s">
        <v>29</v>
      </c>
      <c r="F194" s="7">
        <v>1211</v>
      </c>
      <c r="G194" s="7">
        <v>431</v>
      </c>
      <c r="H194" s="7">
        <v>83</v>
      </c>
      <c r="I194" s="7">
        <v>26532</v>
      </c>
      <c r="J194" s="7">
        <v>47305</v>
      </c>
      <c r="K194" s="7">
        <v>232</v>
      </c>
      <c r="L194" s="1" t="s">
        <v>57</v>
      </c>
      <c r="M194" s="1" t="s">
        <v>58</v>
      </c>
    </row>
    <row r="195" spans="1:13" ht="15.75" customHeight="1">
      <c r="A195" s="1" t="s">
        <v>233</v>
      </c>
      <c r="B195" s="1" t="s">
        <v>24</v>
      </c>
      <c r="C195" s="4">
        <v>45422</v>
      </c>
      <c r="D195" s="1" t="s">
        <v>25</v>
      </c>
      <c r="E195" s="1" t="s">
        <v>20</v>
      </c>
      <c r="F195" s="7">
        <v>2784</v>
      </c>
      <c r="G195" s="7">
        <v>111</v>
      </c>
      <c r="H195" s="7">
        <v>399</v>
      </c>
      <c r="I195" s="7">
        <v>58366</v>
      </c>
      <c r="J195" s="7">
        <v>69512</v>
      </c>
      <c r="K195" s="7">
        <v>269</v>
      </c>
      <c r="L195" s="1" t="s">
        <v>27</v>
      </c>
      <c r="M195" s="1" t="s">
        <v>18</v>
      </c>
    </row>
    <row r="196" spans="1:13" ht="15.75" customHeight="1">
      <c r="A196" s="1" t="s">
        <v>234</v>
      </c>
      <c r="B196" s="1" t="s">
        <v>364</v>
      </c>
      <c r="C196" s="4">
        <v>45305</v>
      </c>
      <c r="D196" s="1" t="s">
        <v>15</v>
      </c>
      <c r="E196" s="1" t="s">
        <v>26</v>
      </c>
      <c r="F196" s="7">
        <v>3634</v>
      </c>
      <c r="G196" s="7">
        <v>280</v>
      </c>
      <c r="H196" s="7">
        <v>399</v>
      </c>
      <c r="I196" s="7">
        <v>40256</v>
      </c>
      <c r="J196" s="7">
        <v>52605</v>
      </c>
      <c r="K196" s="7">
        <v>213</v>
      </c>
      <c r="L196" s="1" t="s">
        <v>32</v>
      </c>
      <c r="M196" s="1" t="s">
        <v>22</v>
      </c>
    </row>
    <row r="197" spans="1:13" ht="15.75" customHeight="1">
      <c r="A197" s="1" t="s">
        <v>235</v>
      </c>
      <c r="B197" s="1" t="s">
        <v>14</v>
      </c>
      <c r="C197" s="4">
        <v>45669</v>
      </c>
      <c r="D197" s="1" t="s">
        <v>15</v>
      </c>
      <c r="E197" s="1" t="s">
        <v>48</v>
      </c>
      <c r="F197" s="7">
        <v>1771</v>
      </c>
      <c r="G197" s="7">
        <v>487</v>
      </c>
      <c r="H197" s="7">
        <v>272</v>
      </c>
      <c r="I197" s="7">
        <v>48810</v>
      </c>
      <c r="J197" s="7">
        <v>48084</v>
      </c>
      <c r="K197" s="7">
        <v>272</v>
      </c>
      <c r="L197" s="1" t="s">
        <v>17</v>
      </c>
      <c r="M197" s="1" t="s">
        <v>18</v>
      </c>
    </row>
    <row r="198" spans="1:13" ht="15.75" customHeight="1">
      <c r="A198" s="1" t="s">
        <v>236</v>
      </c>
      <c r="B198" s="1" t="s">
        <v>364</v>
      </c>
      <c r="C198" s="4">
        <v>45634</v>
      </c>
      <c r="D198" s="1" t="s">
        <v>15</v>
      </c>
      <c r="E198" s="1" t="s">
        <v>40</v>
      </c>
      <c r="F198" s="7">
        <v>1424</v>
      </c>
      <c r="G198" s="7">
        <v>396</v>
      </c>
      <c r="H198" s="7">
        <v>312</v>
      </c>
      <c r="I198" s="7">
        <v>59517</v>
      </c>
      <c r="J198" s="7">
        <v>46102</v>
      </c>
      <c r="K198" s="7">
        <v>239</v>
      </c>
      <c r="L198" s="1" t="s">
        <v>32</v>
      </c>
      <c r="M198" s="1" t="s">
        <v>22</v>
      </c>
    </row>
    <row r="199" spans="1:13" ht="15.75" customHeight="1">
      <c r="A199" s="1" t="s">
        <v>237</v>
      </c>
      <c r="B199" s="1" t="s">
        <v>24</v>
      </c>
      <c r="C199" s="4">
        <v>45689</v>
      </c>
      <c r="D199" s="1" t="s">
        <v>25</v>
      </c>
      <c r="E199" s="1" t="s">
        <v>40</v>
      </c>
      <c r="F199" s="7">
        <v>1079</v>
      </c>
      <c r="G199" s="7">
        <v>265</v>
      </c>
      <c r="H199" s="7">
        <v>190</v>
      </c>
      <c r="I199" s="7">
        <v>43786</v>
      </c>
      <c r="J199" s="7">
        <v>72428</v>
      </c>
      <c r="K199" s="7">
        <v>222</v>
      </c>
      <c r="L199" s="1" t="s">
        <v>17</v>
      </c>
      <c r="M199" s="1" t="s">
        <v>18</v>
      </c>
    </row>
    <row r="200" spans="1:13" ht="15.75" customHeight="1">
      <c r="A200" s="1" t="s">
        <v>238</v>
      </c>
      <c r="B200" s="1" t="s">
        <v>24</v>
      </c>
      <c r="C200" s="4">
        <v>45484</v>
      </c>
      <c r="D200" s="1" t="s">
        <v>25</v>
      </c>
      <c r="E200" s="1" t="s">
        <v>36</v>
      </c>
      <c r="F200" s="7">
        <v>4247</v>
      </c>
      <c r="G200" s="7">
        <v>179</v>
      </c>
      <c r="H200" s="7">
        <v>175</v>
      </c>
      <c r="I200" s="7">
        <v>32991</v>
      </c>
      <c r="J200" s="7">
        <v>70120</v>
      </c>
      <c r="K200" s="7">
        <v>276</v>
      </c>
      <c r="L200" s="1" t="s">
        <v>17</v>
      </c>
      <c r="M200" s="1" t="s">
        <v>18</v>
      </c>
    </row>
    <row r="201" spans="1:13" ht="15.75" customHeight="1">
      <c r="A201" s="1" t="s">
        <v>239</v>
      </c>
      <c r="B201" s="1" t="s">
        <v>24</v>
      </c>
      <c r="C201" s="4">
        <v>45369</v>
      </c>
      <c r="D201" s="1" t="s">
        <v>15</v>
      </c>
      <c r="E201" s="1" t="s">
        <v>26</v>
      </c>
      <c r="F201" s="7">
        <v>2033</v>
      </c>
      <c r="G201" s="7">
        <v>420</v>
      </c>
      <c r="H201" s="7">
        <v>94</v>
      </c>
      <c r="I201" s="7">
        <v>56290</v>
      </c>
      <c r="J201" s="7">
        <v>57391</v>
      </c>
      <c r="K201" s="7">
        <v>196</v>
      </c>
      <c r="L201" s="1" t="s">
        <v>41</v>
      </c>
      <c r="M201" s="1" t="s">
        <v>18</v>
      </c>
    </row>
    <row r="202" spans="1:13" ht="15.75" customHeight="1">
      <c r="A202" s="1" t="s">
        <v>240</v>
      </c>
      <c r="B202" s="1" t="s">
        <v>24</v>
      </c>
      <c r="C202" s="4">
        <v>45547</v>
      </c>
      <c r="D202" s="1" t="s">
        <v>25</v>
      </c>
      <c r="E202" s="1" t="s">
        <v>29</v>
      </c>
      <c r="F202" s="7">
        <v>1839</v>
      </c>
      <c r="G202" s="7">
        <v>223</v>
      </c>
      <c r="H202" s="7">
        <v>171</v>
      </c>
      <c r="I202" s="7">
        <v>35459</v>
      </c>
      <c r="J202" s="7">
        <v>69988</v>
      </c>
      <c r="K202" s="7">
        <v>114</v>
      </c>
      <c r="L202" s="1" t="s">
        <v>27</v>
      </c>
      <c r="M202" s="1" t="s">
        <v>18</v>
      </c>
    </row>
    <row r="203" spans="1:13" ht="15.75" customHeight="1">
      <c r="A203" s="1" t="s">
        <v>241</v>
      </c>
      <c r="B203" s="1" t="s">
        <v>24</v>
      </c>
      <c r="C203" s="4">
        <v>45302</v>
      </c>
      <c r="D203" s="1" t="s">
        <v>25</v>
      </c>
      <c r="E203" s="1" t="s">
        <v>29</v>
      </c>
      <c r="F203" s="7">
        <v>2340</v>
      </c>
      <c r="G203" s="7">
        <v>141</v>
      </c>
      <c r="H203" s="7">
        <v>206</v>
      </c>
      <c r="I203" s="7">
        <v>24916</v>
      </c>
      <c r="J203" s="7">
        <v>30582</v>
      </c>
      <c r="K203" s="7">
        <v>157</v>
      </c>
      <c r="L203" s="1" t="s">
        <v>17</v>
      </c>
      <c r="M203" s="1" t="s">
        <v>18</v>
      </c>
    </row>
    <row r="204" spans="1:13" ht="15.75" customHeight="1">
      <c r="A204" s="1" t="s">
        <v>242</v>
      </c>
      <c r="B204" s="1" t="s">
        <v>14</v>
      </c>
      <c r="C204" s="4">
        <v>45571</v>
      </c>
      <c r="D204" s="1" t="s">
        <v>15</v>
      </c>
      <c r="E204" s="1" t="s">
        <v>40</v>
      </c>
      <c r="F204" s="7">
        <v>2080</v>
      </c>
      <c r="G204" s="7">
        <v>389</v>
      </c>
      <c r="H204" s="7">
        <v>92</v>
      </c>
      <c r="I204" s="7">
        <v>30971</v>
      </c>
      <c r="J204" s="7">
        <v>25347</v>
      </c>
      <c r="K204" s="7">
        <v>111</v>
      </c>
      <c r="L204" s="1" t="s">
        <v>21</v>
      </c>
      <c r="M204" s="1" t="s">
        <v>22</v>
      </c>
    </row>
    <row r="205" spans="1:13" ht="15.75" customHeight="1">
      <c r="A205" s="1" t="s">
        <v>243</v>
      </c>
      <c r="B205" s="1" t="s">
        <v>24</v>
      </c>
      <c r="C205" s="4">
        <v>45656</v>
      </c>
      <c r="D205" s="1" t="s">
        <v>15</v>
      </c>
      <c r="E205" s="1" t="s">
        <v>36</v>
      </c>
      <c r="F205" s="7">
        <v>4214</v>
      </c>
      <c r="G205" s="7">
        <v>286</v>
      </c>
      <c r="H205" s="7">
        <v>127</v>
      </c>
      <c r="I205" s="7">
        <v>47293</v>
      </c>
      <c r="J205" s="7">
        <v>27184</v>
      </c>
      <c r="K205" s="7">
        <v>232</v>
      </c>
      <c r="L205" s="1" t="s">
        <v>41</v>
      </c>
      <c r="M205" s="1" t="s">
        <v>18</v>
      </c>
    </row>
    <row r="206" spans="1:13" ht="15.75" customHeight="1">
      <c r="A206" s="1" t="s">
        <v>244</v>
      </c>
      <c r="B206" s="1" t="s">
        <v>24</v>
      </c>
      <c r="C206" s="4">
        <v>45763</v>
      </c>
      <c r="D206" s="1" t="s">
        <v>15</v>
      </c>
      <c r="E206" s="1" t="s">
        <v>29</v>
      </c>
      <c r="F206" s="7">
        <v>3792</v>
      </c>
      <c r="G206" s="7">
        <v>315</v>
      </c>
      <c r="H206" s="7">
        <v>120</v>
      </c>
      <c r="I206" s="7">
        <v>54592</v>
      </c>
      <c r="J206" s="7">
        <v>67886</v>
      </c>
      <c r="K206" s="7">
        <v>117</v>
      </c>
      <c r="L206" s="1" t="s">
        <v>44</v>
      </c>
      <c r="M206" s="1" t="s">
        <v>22</v>
      </c>
    </row>
    <row r="207" spans="1:13" ht="15.75" customHeight="1">
      <c r="A207" s="1" t="s">
        <v>245</v>
      </c>
      <c r="B207" s="1" t="s">
        <v>24</v>
      </c>
      <c r="C207" s="4">
        <v>45525</v>
      </c>
      <c r="D207" s="1" t="s">
        <v>25</v>
      </c>
      <c r="E207" s="1" t="s">
        <v>20</v>
      </c>
      <c r="F207" s="7">
        <v>3989</v>
      </c>
      <c r="G207" s="7">
        <v>476</v>
      </c>
      <c r="H207" s="7">
        <v>128</v>
      </c>
      <c r="I207" s="7">
        <v>57569</v>
      </c>
      <c r="J207" s="7">
        <v>40193</v>
      </c>
      <c r="K207" s="7">
        <v>222</v>
      </c>
      <c r="L207" s="1" t="s">
        <v>38</v>
      </c>
      <c r="M207" s="1" t="s">
        <v>18</v>
      </c>
    </row>
    <row r="208" spans="1:13" ht="15.75" customHeight="1">
      <c r="A208" s="1" t="s">
        <v>246</v>
      </c>
      <c r="B208" s="1" t="s">
        <v>24</v>
      </c>
      <c r="C208" s="4">
        <v>45387</v>
      </c>
      <c r="D208" s="1" t="s">
        <v>25</v>
      </c>
      <c r="E208" s="1" t="s">
        <v>29</v>
      </c>
      <c r="F208" s="7">
        <v>2857</v>
      </c>
      <c r="G208" s="7">
        <v>443</v>
      </c>
      <c r="H208" s="7">
        <v>359</v>
      </c>
      <c r="I208" s="7">
        <v>51519</v>
      </c>
      <c r="J208" s="7">
        <v>28256</v>
      </c>
      <c r="K208" s="7">
        <v>155</v>
      </c>
      <c r="L208" s="1" t="s">
        <v>17</v>
      </c>
      <c r="M208" s="1" t="s">
        <v>18</v>
      </c>
    </row>
    <row r="209" spans="1:13" ht="15.75" customHeight="1">
      <c r="A209" s="1" t="s">
        <v>247</v>
      </c>
      <c r="B209" s="1" t="s">
        <v>24</v>
      </c>
      <c r="C209" s="4">
        <v>45754</v>
      </c>
      <c r="D209" s="1" t="s">
        <v>15</v>
      </c>
      <c r="E209" s="1" t="s">
        <v>48</v>
      </c>
      <c r="F209" s="7">
        <v>1403</v>
      </c>
      <c r="G209" s="7">
        <v>385</v>
      </c>
      <c r="H209" s="7">
        <v>344</v>
      </c>
      <c r="I209" s="7">
        <v>54223</v>
      </c>
      <c r="J209" s="7">
        <v>72595</v>
      </c>
      <c r="K209" s="7">
        <v>239</v>
      </c>
      <c r="L209" s="1" t="s">
        <v>44</v>
      </c>
      <c r="M209" s="1" t="s">
        <v>22</v>
      </c>
    </row>
    <row r="210" spans="1:13" ht="15.75" customHeight="1">
      <c r="A210" s="1" t="s">
        <v>248</v>
      </c>
      <c r="B210" s="1" t="s">
        <v>24</v>
      </c>
      <c r="C210" s="4">
        <v>45492</v>
      </c>
      <c r="D210" s="1" t="s">
        <v>25</v>
      </c>
      <c r="E210" s="1" t="s">
        <v>34</v>
      </c>
      <c r="F210" s="7">
        <v>3071</v>
      </c>
      <c r="G210" s="7">
        <v>126</v>
      </c>
      <c r="H210" s="7">
        <v>200</v>
      </c>
      <c r="I210" s="7">
        <v>44013</v>
      </c>
      <c r="J210" s="7">
        <v>44679</v>
      </c>
      <c r="K210" s="7">
        <v>118</v>
      </c>
      <c r="L210" s="1" t="s">
        <v>38</v>
      </c>
      <c r="M210" s="1" t="s">
        <v>18</v>
      </c>
    </row>
    <row r="211" spans="1:13" ht="15.75" customHeight="1">
      <c r="A211" s="1" t="s">
        <v>249</v>
      </c>
      <c r="B211" s="1" t="s">
        <v>24</v>
      </c>
      <c r="C211" s="4">
        <v>45780</v>
      </c>
      <c r="D211" s="1" t="s">
        <v>25</v>
      </c>
      <c r="E211" s="1" t="s">
        <v>40</v>
      </c>
      <c r="F211" s="7">
        <v>1010</v>
      </c>
      <c r="G211" s="7">
        <v>361</v>
      </c>
      <c r="H211" s="7">
        <v>240</v>
      </c>
      <c r="I211" s="7">
        <v>47229</v>
      </c>
      <c r="J211" s="7">
        <v>72573</v>
      </c>
      <c r="K211" s="7">
        <v>275</v>
      </c>
      <c r="L211" s="1" t="s">
        <v>17</v>
      </c>
      <c r="M211" s="1" t="s">
        <v>18</v>
      </c>
    </row>
    <row r="212" spans="1:13" ht="15.75" customHeight="1">
      <c r="A212" s="1" t="s">
        <v>250</v>
      </c>
      <c r="B212" s="1" t="s">
        <v>24</v>
      </c>
      <c r="C212" s="4">
        <v>45396</v>
      </c>
      <c r="D212" s="1" t="s">
        <v>25</v>
      </c>
      <c r="E212" s="1" t="s">
        <v>16</v>
      </c>
      <c r="F212" s="7">
        <v>1295</v>
      </c>
      <c r="G212" s="7">
        <v>153</v>
      </c>
      <c r="H212" s="7">
        <v>81</v>
      </c>
      <c r="I212" s="7">
        <v>48350</v>
      </c>
      <c r="J212" s="7">
        <v>61033</v>
      </c>
      <c r="K212" s="7">
        <v>232</v>
      </c>
      <c r="L212" s="1" t="s">
        <v>38</v>
      </c>
      <c r="M212" s="1" t="s">
        <v>18</v>
      </c>
    </row>
    <row r="213" spans="1:13" ht="15.75" customHeight="1">
      <c r="A213" s="1" t="s">
        <v>251</v>
      </c>
      <c r="B213" s="1" t="s">
        <v>24</v>
      </c>
      <c r="C213" s="4">
        <v>45827</v>
      </c>
      <c r="D213" s="1" t="s">
        <v>25</v>
      </c>
      <c r="E213" s="1" t="s">
        <v>34</v>
      </c>
      <c r="F213" s="7">
        <v>1433</v>
      </c>
      <c r="G213" s="7">
        <v>452</v>
      </c>
      <c r="H213" s="7">
        <v>305</v>
      </c>
      <c r="I213" s="7">
        <v>54541</v>
      </c>
      <c r="J213" s="7">
        <v>63700</v>
      </c>
      <c r="K213" s="7">
        <v>296</v>
      </c>
      <c r="L213" s="1" t="s">
        <v>38</v>
      </c>
      <c r="M213" s="1" t="s">
        <v>18</v>
      </c>
    </row>
    <row r="214" spans="1:13" ht="15.75" customHeight="1">
      <c r="A214" s="1" t="s">
        <v>252</v>
      </c>
      <c r="B214" s="1" t="s">
        <v>14</v>
      </c>
      <c r="C214" s="4">
        <v>45832</v>
      </c>
      <c r="D214" s="1" t="s">
        <v>25</v>
      </c>
      <c r="E214" s="1" t="s">
        <v>36</v>
      </c>
      <c r="F214" s="7">
        <v>4902</v>
      </c>
      <c r="G214" s="7">
        <v>422</v>
      </c>
      <c r="H214" s="7">
        <v>376</v>
      </c>
      <c r="I214" s="7">
        <v>31674</v>
      </c>
      <c r="J214" s="7">
        <v>53225</v>
      </c>
      <c r="K214" s="7">
        <v>147</v>
      </c>
      <c r="L214" s="1" t="s">
        <v>41</v>
      </c>
      <c r="M214" s="1" t="s">
        <v>54</v>
      </c>
    </row>
    <row r="215" spans="1:13" ht="15.75" customHeight="1">
      <c r="A215" s="1" t="s">
        <v>253</v>
      </c>
      <c r="B215" s="1" t="s">
        <v>24</v>
      </c>
      <c r="C215" s="4">
        <v>45574</v>
      </c>
      <c r="D215" s="1" t="s">
        <v>15</v>
      </c>
      <c r="E215" s="1" t="s">
        <v>29</v>
      </c>
      <c r="F215" s="7">
        <v>2659</v>
      </c>
      <c r="G215" s="7">
        <v>167</v>
      </c>
      <c r="H215" s="7">
        <v>73</v>
      </c>
      <c r="I215" s="7">
        <v>23090</v>
      </c>
      <c r="J215" s="7">
        <v>25872</v>
      </c>
      <c r="K215" s="7">
        <v>293</v>
      </c>
      <c r="L215" s="1" t="s">
        <v>44</v>
      </c>
      <c r="M215" s="1" t="s">
        <v>22</v>
      </c>
    </row>
    <row r="216" spans="1:13" ht="15.75" customHeight="1">
      <c r="A216" s="1" t="s">
        <v>254</v>
      </c>
      <c r="B216" s="1" t="s">
        <v>364</v>
      </c>
      <c r="C216" s="4">
        <v>45672</v>
      </c>
      <c r="D216" s="1" t="s">
        <v>15</v>
      </c>
      <c r="E216" s="1" t="s">
        <v>50</v>
      </c>
      <c r="F216" s="7">
        <v>2599</v>
      </c>
      <c r="G216" s="7">
        <v>324</v>
      </c>
      <c r="H216" s="7">
        <v>182</v>
      </c>
      <c r="I216" s="7">
        <v>37525</v>
      </c>
      <c r="J216" s="7">
        <v>37216</v>
      </c>
      <c r="K216" s="7">
        <v>186</v>
      </c>
      <c r="L216" s="1" t="s">
        <v>32</v>
      </c>
      <c r="M216" s="1" t="s">
        <v>22</v>
      </c>
    </row>
    <row r="217" spans="1:13" ht="15.75" customHeight="1">
      <c r="A217" s="1" t="s">
        <v>255</v>
      </c>
      <c r="B217" s="1" t="s">
        <v>24</v>
      </c>
      <c r="C217" s="4">
        <v>45669</v>
      </c>
      <c r="D217" s="1" t="s">
        <v>15</v>
      </c>
      <c r="E217" s="1" t="s">
        <v>31</v>
      </c>
      <c r="F217" s="7">
        <v>1765</v>
      </c>
      <c r="G217" s="7">
        <v>285</v>
      </c>
      <c r="H217" s="7">
        <v>100</v>
      </c>
      <c r="I217" s="7">
        <v>41313</v>
      </c>
      <c r="J217" s="7">
        <v>56575</v>
      </c>
      <c r="K217" s="7">
        <v>174</v>
      </c>
      <c r="L217" s="1" t="s">
        <v>44</v>
      </c>
      <c r="M217" s="1" t="s">
        <v>22</v>
      </c>
    </row>
    <row r="218" spans="1:13" ht="15.75" customHeight="1">
      <c r="A218" s="1" t="s">
        <v>256</v>
      </c>
      <c r="B218" s="1" t="s">
        <v>14</v>
      </c>
      <c r="C218" s="4">
        <v>45808</v>
      </c>
      <c r="D218" s="1" t="s">
        <v>15</v>
      </c>
      <c r="E218" s="1" t="s">
        <v>34</v>
      </c>
      <c r="F218" s="7">
        <v>2169</v>
      </c>
      <c r="G218" s="7">
        <v>240</v>
      </c>
      <c r="H218" s="7">
        <v>57</v>
      </c>
      <c r="I218" s="7">
        <v>26109</v>
      </c>
      <c r="J218" s="7">
        <v>46667</v>
      </c>
      <c r="K218" s="7">
        <v>133</v>
      </c>
      <c r="L218" s="1" t="s">
        <v>17</v>
      </c>
      <c r="M218" s="1" t="s">
        <v>18</v>
      </c>
    </row>
    <row r="219" spans="1:13" ht="15.75" customHeight="1">
      <c r="A219" s="1" t="s">
        <v>257</v>
      </c>
      <c r="B219" s="1" t="s">
        <v>24</v>
      </c>
      <c r="C219" s="4">
        <v>45579</v>
      </c>
      <c r="D219" s="1" t="s">
        <v>25</v>
      </c>
      <c r="E219" s="1" t="s">
        <v>20</v>
      </c>
      <c r="F219" s="7">
        <v>4303</v>
      </c>
      <c r="G219" s="7">
        <v>306</v>
      </c>
      <c r="H219" s="7">
        <v>302</v>
      </c>
      <c r="I219" s="7">
        <v>39575</v>
      </c>
      <c r="J219" s="7">
        <v>33762</v>
      </c>
      <c r="K219" s="7">
        <v>265</v>
      </c>
      <c r="L219" s="1" t="s">
        <v>38</v>
      </c>
      <c r="M219" s="1" t="s">
        <v>18</v>
      </c>
    </row>
    <row r="220" spans="1:13" ht="15.75" customHeight="1">
      <c r="A220" s="1" t="s">
        <v>258</v>
      </c>
      <c r="B220" s="1" t="s">
        <v>24</v>
      </c>
      <c r="C220" s="4">
        <v>45332</v>
      </c>
      <c r="D220" s="1" t="s">
        <v>15</v>
      </c>
      <c r="E220" s="1" t="s">
        <v>48</v>
      </c>
      <c r="F220" s="7">
        <v>1519</v>
      </c>
      <c r="G220" s="7">
        <v>456</v>
      </c>
      <c r="H220" s="7">
        <v>379</v>
      </c>
      <c r="I220" s="7">
        <v>51611</v>
      </c>
      <c r="J220" s="7">
        <v>45880</v>
      </c>
      <c r="K220" s="7">
        <v>176</v>
      </c>
      <c r="L220" s="1" t="s">
        <v>44</v>
      </c>
      <c r="M220" s="1" t="s">
        <v>22</v>
      </c>
    </row>
    <row r="221" spans="1:13" ht="15.75" customHeight="1">
      <c r="A221" s="1" t="s">
        <v>259</v>
      </c>
      <c r="B221" s="1" t="s">
        <v>364</v>
      </c>
      <c r="C221" s="4">
        <v>45636</v>
      </c>
      <c r="D221" s="1" t="s">
        <v>15</v>
      </c>
      <c r="E221" s="1" t="s">
        <v>34</v>
      </c>
      <c r="F221" s="7">
        <v>2569</v>
      </c>
      <c r="G221" s="7">
        <v>140</v>
      </c>
      <c r="H221" s="7">
        <v>375</v>
      </c>
      <c r="I221" s="7">
        <v>38372</v>
      </c>
      <c r="J221" s="7">
        <v>22102</v>
      </c>
      <c r="K221" s="7">
        <v>255</v>
      </c>
      <c r="L221" s="1" t="s">
        <v>32</v>
      </c>
      <c r="M221" s="1" t="s">
        <v>22</v>
      </c>
    </row>
    <row r="222" spans="1:13" ht="15.75" customHeight="1">
      <c r="A222" s="1" t="s">
        <v>260</v>
      </c>
      <c r="B222" s="1" t="s">
        <v>24</v>
      </c>
      <c r="C222" s="4">
        <v>45786</v>
      </c>
      <c r="D222" s="1" t="s">
        <v>25</v>
      </c>
      <c r="E222" s="1" t="s">
        <v>31</v>
      </c>
      <c r="F222" s="7">
        <v>2778</v>
      </c>
      <c r="G222" s="7">
        <v>241</v>
      </c>
      <c r="H222" s="7">
        <v>317</v>
      </c>
      <c r="I222" s="7">
        <v>26247</v>
      </c>
      <c r="J222" s="7">
        <v>20677</v>
      </c>
      <c r="K222" s="7">
        <v>282</v>
      </c>
      <c r="L222" s="1" t="s">
        <v>27</v>
      </c>
      <c r="M222" s="1" t="s">
        <v>18</v>
      </c>
    </row>
    <row r="223" spans="1:13" ht="15.75" customHeight="1">
      <c r="A223" s="1" t="s">
        <v>261</v>
      </c>
      <c r="B223" s="1" t="s">
        <v>24</v>
      </c>
      <c r="C223" s="4">
        <v>45829</v>
      </c>
      <c r="D223" s="1" t="s">
        <v>15</v>
      </c>
      <c r="E223" s="1" t="s">
        <v>20</v>
      </c>
      <c r="F223" s="7">
        <v>3611</v>
      </c>
      <c r="G223" s="7">
        <v>127</v>
      </c>
      <c r="H223" s="7">
        <v>139</v>
      </c>
      <c r="I223" s="7">
        <v>44768</v>
      </c>
      <c r="J223" s="7">
        <v>29435</v>
      </c>
      <c r="K223" s="7">
        <v>178</v>
      </c>
      <c r="L223" s="1" t="s">
        <v>41</v>
      </c>
      <c r="M223" s="1" t="s">
        <v>18</v>
      </c>
    </row>
    <row r="224" spans="1:13" ht="15.75" customHeight="1">
      <c r="A224" s="1" t="s">
        <v>262</v>
      </c>
      <c r="B224" s="1" t="s">
        <v>24</v>
      </c>
      <c r="C224" s="4">
        <v>45462</v>
      </c>
      <c r="D224" s="1" t="s">
        <v>15</v>
      </c>
      <c r="E224" s="1" t="s">
        <v>34</v>
      </c>
      <c r="F224" s="7">
        <v>1224</v>
      </c>
      <c r="G224" s="7">
        <v>168</v>
      </c>
      <c r="H224" s="7">
        <v>199</v>
      </c>
      <c r="I224" s="7">
        <v>54232</v>
      </c>
      <c r="J224" s="7">
        <v>52844</v>
      </c>
      <c r="K224" s="7">
        <v>271</v>
      </c>
      <c r="L224" s="1" t="s">
        <v>44</v>
      </c>
      <c r="M224" s="1" t="s">
        <v>22</v>
      </c>
    </row>
    <row r="225" spans="1:13" ht="15.75" customHeight="1">
      <c r="A225" s="1" t="s">
        <v>263</v>
      </c>
      <c r="B225" s="1" t="s">
        <v>24</v>
      </c>
      <c r="C225" s="4">
        <v>45636</v>
      </c>
      <c r="D225" s="1" t="s">
        <v>15</v>
      </c>
      <c r="E225" s="1" t="s">
        <v>48</v>
      </c>
      <c r="F225" s="7">
        <v>4673</v>
      </c>
      <c r="G225" s="7">
        <v>270</v>
      </c>
      <c r="H225" s="7">
        <v>93</v>
      </c>
      <c r="I225" s="7">
        <v>45260</v>
      </c>
      <c r="J225" s="7">
        <v>57513</v>
      </c>
      <c r="K225" s="7">
        <v>103</v>
      </c>
      <c r="L225" s="1" t="s">
        <v>41</v>
      </c>
      <c r="M225" s="1" t="s">
        <v>18</v>
      </c>
    </row>
    <row r="226" spans="1:13" ht="15.75" customHeight="1">
      <c r="A226" s="1" t="s">
        <v>264</v>
      </c>
      <c r="B226" s="1" t="s">
        <v>364</v>
      </c>
      <c r="C226" s="4">
        <v>45323</v>
      </c>
      <c r="D226" s="1" t="s">
        <v>15</v>
      </c>
      <c r="E226" s="1" t="s">
        <v>29</v>
      </c>
      <c r="F226" s="7">
        <v>1432</v>
      </c>
      <c r="G226" s="7">
        <v>437</v>
      </c>
      <c r="H226" s="7">
        <v>267</v>
      </c>
      <c r="I226" s="7">
        <v>40634</v>
      </c>
      <c r="J226" s="7">
        <v>54511</v>
      </c>
      <c r="K226" s="7">
        <v>197</v>
      </c>
      <c r="L226" s="1" t="s">
        <v>32</v>
      </c>
      <c r="M226" s="1" t="s">
        <v>22</v>
      </c>
    </row>
    <row r="227" spans="1:13" ht="15.75" customHeight="1">
      <c r="A227" s="1" t="s">
        <v>265</v>
      </c>
      <c r="B227" s="1" t="s">
        <v>24</v>
      </c>
      <c r="C227" s="4">
        <v>45308</v>
      </c>
      <c r="D227" s="1" t="s">
        <v>25</v>
      </c>
      <c r="E227" s="1" t="s">
        <v>26</v>
      </c>
      <c r="F227" s="7">
        <v>2174</v>
      </c>
      <c r="G227" s="7">
        <v>499</v>
      </c>
      <c r="H227" s="7">
        <v>212</v>
      </c>
      <c r="I227" s="7">
        <v>54938</v>
      </c>
      <c r="J227" s="7">
        <v>27190</v>
      </c>
      <c r="K227" s="7">
        <v>265</v>
      </c>
      <c r="L227" s="1" t="s">
        <v>27</v>
      </c>
      <c r="M227" s="1" t="s">
        <v>18</v>
      </c>
    </row>
    <row r="228" spans="1:13" ht="15.75" customHeight="1">
      <c r="A228" s="1" t="s">
        <v>266</v>
      </c>
      <c r="B228" s="1" t="s">
        <v>364</v>
      </c>
      <c r="C228" s="4">
        <v>45738</v>
      </c>
      <c r="D228" s="1" t="s">
        <v>15</v>
      </c>
      <c r="E228" s="1" t="s">
        <v>31</v>
      </c>
      <c r="F228" s="7">
        <v>4308</v>
      </c>
      <c r="G228" s="7">
        <v>171</v>
      </c>
      <c r="H228" s="7">
        <v>106</v>
      </c>
      <c r="I228" s="7">
        <v>36955</v>
      </c>
      <c r="J228" s="7">
        <v>23949</v>
      </c>
      <c r="K228" s="7">
        <v>294</v>
      </c>
      <c r="L228" s="1" t="s">
        <v>32</v>
      </c>
      <c r="M228" s="1" t="s">
        <v>22</v>
      </c>
    </row>
    <row r="229" spans="1:13" ht="15.75" customHeight="1">
      <c r="A229" s="1" t="s">
        <v>267</v>
      </c>
      <c r="B229" s="1" t="s">
        <v>364</v>
      </c>
      <c r="C229" s="4">
        <v>45442</v>
      </c>
      <c r="D229" s="1" t="s">
        <v>56</v>
      </c>
      <c r="E229" s="1" t="s">
        <v>34</v>
      </c>
      <c r="F229" s="7">
        <v>1060</v>
      </c>
      <c r="G229" s="7">
        <v>442</v>
      </c>
      <c r="H229" s="7">
        <v>319</v>
      </c>
      <c r="I229" s="7">
        <v>57194</v>
      </c>
      <c r="J229" s="7">
        <v>24258</v>
      </c>
      <c r="K229" s="7">
        <v>101</v>
      </c>
      <c r="L229" s="1" t="s">
        <v>57</v>
      </c>
      <c r="M229" s="1" t="s">
        <v>58</v>
      </c>
    </row>
    <row r="230" spans="1:13" ht="15.75" customHeight="1">
      <c r="A230" s="1" t="s">
        <v>268</v>
      </c>
      <c r="B230" s="1" t="s">
        <v>364</v>
      </c>
      <c r="C230" s="4">
        <v>45346</v>
      </c>
      <c r="D230" s="1" t="s">
        <v>15</v>
      </c>
      <c r="E230" s="1" t="s">
        <v>31</v>
      </c>
      <c r="F230" s="7">
        <v>4653</v>
      </c>
      <c r="G230" s="7">
        <v>226</v>
      </c>
      <c r="H230" s="7">
        <v>349</v>
      </c>
      <c r="I230" s="7">
        <v>56876</v>
      </c>
      <c r="J230" s="7">
        <v>28452</v>
      </c>
      <c r="K230" s="7">
        <v>257</v>
      </c>
      <c r="L230" s="1" t="s">
        <v>32</v>
      </c>
      <c r="M230" s="1" t="s">
        <v>22</v>
      </c>
    </row>
    <row r="231" spans="1:13" ht="15.75" customHeight="1">
      <c r="A231" s="1" t="s">
        <v>269</v>
      </c>
      <c r="B231" s="1" t="s">
        <v>364</v>
      </c>
      <c r="C231" s="4">
        <v>45791</v>
      </c>
      <c r="D231" s="1" t="s">
        <v>15</v>
      </c>
      <c r="E231" s="1" t="s">
        <v>16</v>
      </c>
      <c r="F231" s="7">
        <v>1701</v>
      </c>
      <c r="G231" s="7">
        <v>272</v>
      </c>
      <c r="H231" s="7">
        <v>385</v>
      </c>
      <c r="I231" s="7">
        <v>47496</v>
      </c>
      <c r="J231" s="7">
        <v>40832</v>
      </c>
      <c r="K231" s="7">
        <v>246</v>
      </c>
      <c r="L231" s="1" t="s">
        <v>32</v>
      </c>
      <c r="M231" s="1" t="s">
        <v>22</v>
      </c>
    </row>
    <row r="232" spans="1:13" ht="15.75" customHeight="1">
      <c r="A232" s="1" t="s">
        <v>270</v>
      </c>
      <c r="B232" s="1" t="s">
        <v>14</v>
      </c>
      <c r="C232" s="4">
        <v>45379</v>
      </c>
      <c r="D232" s="1" t="s">
        <v>15</v>
      </c>
      <c r="E232" s="1" t="s">
        <v>34</v>
      </c>
      <c r="F232" s="7">
        <v>1673</v>
      </c>
      <c r="G232" s="7">
        <v>280</v>
      </c>
      <c r="H232" s="7">
        <v>67</v>
      </c>
      <c r="I232" s="7">
        <v>29847</v>
      </c>
      <c r="J232" s="7">
        <v>48016</v>
      </c>
      <c r="K232" s="7">
        <v>213</v>
      </c>
      <c r="L232" s="1" t="s">
        <v>17</v>
      </c>
      <c r="M232" s="1" t="s">
        <v>18</v>
      </c>
    </row>
    <row r="233" spans="1:13" ht="15.75" customHeight="1">
      <c r="A233" s="1" t="s">
        <v>271</v>
      </c>
      <c r="B233" s="1" t="s">
        <v>364</v>
      </c>
      <c r="C233" s="4">
        <v>45723</v>
      </c>
      <c r="D233" s="1" t="s">
        <v>15</v>
      </c>
      <c r="E233" s="1" t="s">
        <v>40</v>
      </c>
      <c r="F233" s="7">
        <v>4310</v>
      </c>
      <c r="G233" s="7">
        <v>284</v>
      </c>
      <c r="H233" s="7">
        <v>306</v>
      </c>
      <c r="I233" s="7">
        <v>44606</v>
      </c>
      <c r="J233" s="7">
        <v>42604</v>
      </c>
      <c r="K233" s="7">
        <v>290</v>
      </c>
      <c r="L233" s="1" t="s">
        <v>32</v>
      </c>
      <c r="M233" s="1" t="s">
        <v>22</v>
      </c>
    </row>
    <row r="234" spans="1:13" ht="15.75" customHeight="1">
      <c r="A234" s="1" t="s">
        <v>272</v>
      </c>
      <c r="B234" s="1" t="s">
        <v>24</v>
      </c>
      <c r="C234" s="4">
        <v>45585</v>
      </c>
      <c r="D234" s="1" t="s">
        <v>15</v>
      </c>
      <c r="E234" s="1" t="s">
        <v>48</v>
      </c>
      <c r="F234" s="7">
        <v>2752</v>
      </c>
      <c r="G234" s="7">
        <v>309</v>
      </c>
      <c r="H234" s="7">
        <v>91</v>
      </c>
      <c r="I234" s="7">
        <v>39038</v>
      </c>
      <c r="J234" s="7">
        <v>28095</v>
      </c>
      <c r="K234" s="7">
        <v>277</v>
      </c>
      <c r="L234" s="1" t="s">
        <v>41</v>
      </c>
      <c r="M234" s="1" t="s">
        <v>18</v>
      </c>
    </row>
    <row r="235" spans="1:13" ht="15.75" customHeight="1">
      <c r="A235" s="1" t="s">
        <v>273</v>
      </c>
      <c r="B235" s="1" t="s">
        <v>24</v>
      </c>
      <c r="C235" s="4">
        <v>45324</v>
      </c>
      <c r="D235" s="1" t="s">
        <v>15</v>
      </c>
      <c r="E235" s="1" t="s">
        <v>48</v>
      </c>
      <c r="F235" s="7">
        <v>3818</v>
      </c>
      <c r="G235" s="7">
        <v>115</v>
      </c>
      <c r="H235" s="7">
        <v>286</v>
      </c>
      <c r="I235" s="7">
        <v>25127</v>
      </c>
      <c r="J235" s="7">
        <v>22277</v>
      </c>
      <c r="K235" s="7">
        <v>263</v>
      </c>
      <c r="L235" s="1" t="s">
        <v>41</v>
      </c>
      <c r="M235" s="1" t="s">
        <v>18</v>
      </c>
    </row>
    <row r="236" spans="1:13" ht="15.75" customHeight="1">
      <c r="A236" s="1" t="s">
        <v>274</v>
      </c>
      <c r="B236" s="1" t="s">
        <v>364</v>
      </c>
      <c r="C236" s="4">
        <v>45542</v>
      </c>
      <c r="D236" s="1" t="s">
        <v>15</v>
      </c>
      <c r="E236" s="1" t="s">
        <v>50</v>
      </c>
      <c r="F236" s="7">
        <v>2101</v>
      </c>
      <c r="G236" s="7">
        <v>411</v>
      </c>
      <c r="H236" s="7">
        <v>190</v>
      </c>
      <c r="I236" s="7">
        <v>41791</v>
      </c>
      <c r="J236" s="7">
        <v>57090</v>
      </c>
      <c r="K236" s="7">
        <v>172</v>
      </c>
      <c r="L236" s="1" t="s">
        <v>32</v>
      </c>
      <c r="M236" s="1" t="s">
        <v>22</v>
      </c>
    </row>
    <row r="237" spans="1:13" ht="15.75" customHeight="1">
      <c r="A237" s="1" t="s">
        <v>275</v>
      </c>
      <c r="B237" s="1" t="s">
        <v>14</v>
      </c>
      <c r="C237" s="4">
        <v>45646</v>
      </c>
      <c r="D237" s="1" t="s">
        <v>15</v>
      </c>
      <c r="E237" s="1" t="s">
        <v>16</v>
      </c>
      <c r="F237" s="7">
        <v>2519</v>
      </c>
      <c r="G237" s="7">
        <v>202</v>
      </c>
      <c r="H237" s="7">
        <v>239</v>
      </c>
      <c r="I237" s="7">
        <v>36245</v>
      </c>
      <c r="J237" s="7">
        <v>48606</v>
      </c>
      <c r="K237" s="7">
        <v>145</v>
      </c>
      <c r="L237" s="1" t="s">
        <v>21</v>
      </c>
      <c r="M237" s="1" t="s">
        <v>22</v>
      </c>
    </row>
    <row r="238" spans="1:13" ht="15.75" customHeight="1">
      <c r="A238" s="1" t="s">
        <v>276</v>
      </c>
      <c r="B238" s="1" t="s">
        <v>364</v>
      </c>
      <c r="C238" s="4">
        <v>45305</v>
      </c>
      <c r="D238" s="1" t="s">
        <v>15</v>
      </c>
      <c r="E238" s="1" t="s">
        <v>34</v>
      </c>
      <c r="F238" s="7">
        <v>4502</v>
      </c>
      <c r="G238" s="7">
        <v>238</v>
      </c>
      <c r="H238" s="7">
        <v>386</v>
      </c>
      <c r="I238" s="7">
        <v>39198</v>
      </c>
      <c r="J238" s="7">
        <v>25050</v>
      </c>
      <c r="K238" s="7">
        <v>297</v>
      </c>
      <c r="L238" s="1" t="s">
        <v>32</v>
      </c>
      <c r="M238" s="1" t="s">
        <v>22</v>
      </c>
    </row>
    <row r="239" spans="1:13" ht="15.75" customHeight="1">
      <c r="A239" s="1" t="s">
        <v>277</v>
      </c>
      <c r="B239" s="1" t="s">
        <v>14</v>
      </c>
      <c r="C239" s="4">
        <v>45823</v>
      </c>
      <c r="D239" s="1" t="s">
        <v>15</v>
      </c>
      <c r="E239" s="1" t="s">
        <v>20</v>
      </c>
      <c r="F239" s="7">
        <v>2478</v>
      </c>
      <c r="G239" s="7">
        <v>427</v>
      </c>
      <c r="H239" s="7">
        <v>242</v>
      </c>
      <c r="I239" s="7">
        <v>59272</v>
      </c>
      <c r="J239" s="7">
        <v>37833</v>
      </c>
      <c r="K239" s="7">
        <v>214</v>
      </c>
      <c r="L239" s="1" t="s">
        <v>17</v>
      </c>
      <c r="M239" s="1" t="s">
        <v>18</v>
      </c>
    </row>
    <row r="240" spans="1:13" ht="15.75" customHeight="1">
      <c r="A240" s="1" t="s">
        <v>278</v>
      </c>
      <c r="B240" s="1" t="s">
        <v>24</v>
      </c>
      <c r="C240" s="4">
        <v>45639</v>
      </c>
      <c r="D240" s="1" t="s">
        <v>25</v>
      </c>
      <c r="E240" s="1" t="s">
        <v>26</v>
      </c>
      <c r="F240" s="7">
        <v>4984</v>
      </c>
      <c r="G240" s="7">
        <v>300</v>
      </c>
      <c r="H240" s="7">
        <v>338</v>
      </c>
      <c r="I240" s="7">
        <v>32900</v>
      </c>
      <c r="J240" s="7">
        <v>31691</v>
      </c>
      <c r="K240" s="7">
        <v>160</v>
      </c>
      <c r="L240" s="1" t="s">
        <v>27</v>
      </c>
      <c r="M240" s="1" t="s">
        <v>18</v>
      </c>
    </row>
    <row r="241" spans="1:13" ht="15.75" customHeight="1">
      <c r="A241" s="1" t="s">
        <v>279</v>
      </c>
      <c r="B241" s="1" t="s">
        <v>364</v>
      </c>
      <c r="C241" s="4">
        <v>45533</v>
      </c>
      <c r="D241" s="1" t="s">
        <v>15</v>
      </c>
      <c r="E241" s="1" t="s">
        <v>29</v>
      </c>
      <c r="F241" s="7">
        <v>4774</v>
      </c>
      <c r="G241" s="7">
        <v>389</v>
      </c>
      <c r="H241" s="7">
        <v>358</v>
      </c>
      <c r="I241" s="7">
        <v>52346</v>
      </c>
      <c r="J241" s="7">
        <v>30518</v>
      </c>
      <c r="K241" s="7">
        <v>277</v>
      </c>
      <c r="L241" s="1" t="s">
        <v>32</v>
      </c>
      <c r="M241" s="1" t="s">
        <v>22</v>
      </c>
    </row>
    <row r="242" spans="1:13" ht="15.75" customHeight="1">
      <c r="A242" s="1" t="s">
        <v>280</v>
      </c>
      <c r="B242" s="1" t="s">
        <v>24</v>
      </c>
      <c r="C242" s="4">
        <v>45550</v>
      </c>
      <c r="D242" s="1" t="s">
        <v>15</v>
      </c>
      <c r="E242" s="1" t="s">
        <v>36</v>
      </c>
      <c r="F242" s="7">
        <v>2145</v>
      </c>
      <c r="G242" s="7">
        <v>340</v>
      </c>
      <c r="H242" s="7">
        <v>85</v>
      </c>
      <c r="I242" s="7">
        <v>53323</v>
      </c>
      <c r="J242" s="7">
        <v>49938</v>
      </c>
      <c r="K242" s="7">
        <v>104</v>
      </c>
      <c r="L242" s="1" t="s">
        <v>41</v>
      </c>
      <c r="M242" s="1" t="s">
        <v>18</v>
      </c>
    </row>
    <row r="243" spans="1:13" ht="15.75" customHeight="1">
      <c r="A243" s="1" t="s">
        <v>281</v>
      </c>
      <c r="B243" s="1" t="s">
        <v>24</v>
      </c>
      <c r="C243" s="4">
        <v>45759</v>
      </c>
      <c r="D243" s="1" t="s">
        <v>25</v>
      </c>
      <c r="E243" s="1" t="s">
        <v>48</v>
      </c>
      <c r="F243" s="7">
        <v>4315</v>
      </c>
      <c r="G243" s="7">
        <v>208</v>
      </c>
      <c r="H243" s="7">
        <v>273</v>
      </c>
      <c r="I243" s="7">
        <v>35780</v>
      </c>
      <c r="J243" s="7">
        <v>44349</v>
      </c>
      <c r="K243" s="7">
        <v>133</v>
      </c>
      <c r="L243" s="1" t="s">
        <v>38</v>
      </c>
      <c r="M243" s="1" t="s">
        <v>18</v>
      </c>
    </row>
    <row r="244" spans="1:13" ht="15.75" customHeight="1">
      <c r="A244" s="1" t="s">
        <v>282</v>
      </c>
      <c r="B244" s="1" t="s">
        <v>24</v>
      </c>
      <c r="C244" s="4">
        <v>45636</v>
      </c>
      <c r="D244" s="1" t="s">
        <v>25</v>
      </c>
      <c r="E244" s="1" t="s">
        <v>29</v>
      </c>
      <c r="F244" s="7">
        <v>2267</v>
      </c>
      <c r="G244" s="7">
        <v>230</v>
      </c>
      <c r="H244" s="7">
        <v>243</v>
      </c>
      <c r="I244" s="7">
        <v>27904</v>
      </c>
      <c r="J244" s="7">
        <v>69771</v>
      </c>
      <c r="K244" s="7">
        <v>255</v>
      </c>
      <c r="L244" s="1" t="s">
        <v>38</v>
      </c>
      <c r="M244" s="1" t="s">
        <v>18</v>
      </c>
    </row>
    <row r="245" spans="1:13" ht="15.75" customHeight="1">
      <c r="A245" s="1" t="s">
        <v>283</v>
      </c>
      <c r="B245" s="1" t="s">
        <v>364</v>
      </c>
      <c r="C245" s="4">
        <v>45816</v>
      </c>
      <c r="D245" s="1" t="s">
        <v>15</v>
      </c>
      <c r="E245" s="1" t="s">
        <v>31</v>
      </c>
      <c r="F245" s="7">
        <v>4375</v>
      </c>
      <c r="G245" s="7">
        <v>303</v>
      </c>
      <c r="H245" s="7">
        <v>294</v>
      </c>
      <c r="I245" s="7">
        <v>57468</v>
      </c>
      <c r="J245" s="7">
        <v>53397</v>
      </c>
      <c r="K245" s="7">
        <v>159</v>
      </c>
      <c r="L245" s="1" t="s">
        <v>32</v>
      </c>
      <c r="M245" s="1" t="s">
        <v>22</v>
      </c>
    </row>
    <row r="246" spans="1:13" ht="15.75" customHeight="1">
      <c r="A246" s="1" t="s">
        <v>284</v>
      </c>
      <c r="B246" s="1" t="s">
        <v>24</v>
      </c>
      <c r="C246" s="4">
        <v>45666</v>
      </c>
      <c r="D246" s="1" t="s">
        <v>25</v>
      </c>
      <c r="E246" s="1" t="s">
        <v>50</v>
      </c>
      <c r="F246" s="7">
        <v>3817</v>
      </c>
      <c r="G246" s="7">
        <v>284</v>
      </c>
      <c r="H246" s="7">
        <v>204</v>
      </c>
      <c r="I246" s="7">
        <v>46434</v>
      </c>
      <c r="J246" s="7">
        <v>53396</v>
      </c>
      <c r="K246" s="7">
        <v>104</v>
      </c>
      <c r="L246" s="1" t="s">
        <v>27</v>
      </c>
      <c r="M246" s="1" t="s">
        <v>18</v>
      </c>
    </row>
    <row r="247" spans="1:13" ht="15.75" customHeight="1">
      <c r="A247" s="1" t="s">
        <v>285</v>
      </c>
      <c r="B247" s="1" t="s">
        <v>24</v>
      </c>
      <c r="C247" s="4">
        <v>45481</v>
      </c>
      <c r="D247" s="1" t="s">
        <v>25</v>
      </c>
      <c r="E247" s="1" t="s">
        <v>40</v>
      </c>
      <c r="F247" s="7">
        <v>2981</v>
      </c>
      <c r="G247" s="7">
        <v>258</v>
      </c>
      <c r="H247" s="7">
        <v>168</v>
      </c>
      <c r="I247" s="7">
        <v>20677</v>
      </c>
      <c r="J247" s="7">
        <v>68290</v>
      </c>
      <c r="K247" s="7">
        <v>130</v>
      </c>
      <c r="L247" s="1" t="s">
        <v>17</v>
      </c>
      <c r="M247" s="1" t="s">
        <v>18</v>
      </c>
    </row>
    <row r="248" spans="1:13" ht="15.75" customHeight="1">
      <c r="A248" s="1" t="s">
        <v>286</v>
      </c>
      <c r="B248" s="1" t="s">
        <v>24</v>
      </c>
      <c r="C248" s="4">
        <v>45551</v>
      </c>
      <c r="D248" s="1" t="s">
        <v>25</v>
      </c>
      <c r="E248" s="1" t="s">
        <v>50</v>
      </c>
      <c r="F248" s="7">
        <v>3300</v>
      </c>
      <c r="G248" s="7">
        <v>354</v>
      </c>
      <c r="H248" s="7">
        <v>397</v>
      </c>
      <c r="I248" s="7">
        <v>56773</v>
      </c>
      <c r="J248" s="7">
        <v>72110</v>
      </c>
      <c r="K248" s="7">
        <v>163</v>
      </c>
      <c r="L248" s="1" t="s">
        <v>38</v>
      </c>
      <c r="M248" s="1" t="s">
        <v>18</v>
      </c>
    </row>
    <row r="249" spans="1:13" ht="15.75" customHeight="1">
      <c r="A249" s="1" t="s">
        <v>287</v>
      </c>
      <c r="B249" s="1" t="s">
        <v>364</v>
      </c>
      <c r="C249" s="4">
        <v>45457</v>
      </c>
      <c r="D249" s="1" t="s">
        <v>56</v>
      </c>
      <c r="E249" s="1" t="s">
        <v>29</v>
      </c>
      <c r="F249" s="7">
        <v>4722</v>
      </c>
      <c r="G249" s="7">
        <v>310</v>
      </c>
      <c r="H249" s="7">
        <v>344</v>
      </c>
      <c r="I249" s="7">
        <v>27911</v>
      </c>
      <c r="J249" s="7">
        <v>19000</v>
      </c>
      <c r="K249" s="7">
        <v>225</v>
      </c>
      <c r="L249" s="1" t="s">
        <v>57</v>
      </c>
      <c r="M249" s="1" t="s">
        <v>58</v>
      </c>
    </row>
    <row r="250" spans="1:13" ht="15.75" customHeight="1">
      <c r="A250" s="1" t="s">
        <v>288</v>
      </c>
      <c r="B250" s="1" t="s">
        <v>14</v>
      </c>
      <c r="C250" s="4">
        <v>45357</v>
      </c>
      <c r="D250" s="1" t="s">
        <v>15</v>
      </c>
      <c r="E250" s="1" t="s">
        <v>34</v>
      </c>
      <c r="F250" s="7">
        <v>3529</v>
      </c>
      <c r="G250" s="7">
        <v>263</v>
      </c>
      <c r="H250" s="7">
        <v>107</v>
      </c>
      <c r="I250" s="7">
        <v>26570</v>
      </c>
      <c r="J250" s="7">
        <v>19367</v>
      </c>
      <c r="K250" s="7">
        <v>96</v>
      </c>
      <c r="L250" s="1" t="s">
        <v>21</v>
      </c>
      <c r="M250" s="1" t="s">
        <v>22</v>
      </c>
    </row>
    <row r="251" spans="1:13" ht="15.75" customHeight="1">
      <c r="A251" s="1" t="s">
        <v>289</v>
      </c>
      <c r="B251" s="1" t="s">
        <v>24</v>
      </c>
      <c r="C251" s="4">
        <v>45792</v>
      </c>
      <c r="D251" s="1" t="s">
        <v>15</v>
      </c>
      <c r="E251" s="1" t="s">
        <v>50</v>
      </c>
      <c r="F251" s="7">
        <v>4782</v>
      </c>
      <c r="G251" s="7">
        <v>210</v>
      </c>
      <c r="H251" s="7">
        <v>311</v>
      </c>
      <c r="I251" s="7">
        <v>29793</v>
      </c>
      <c r="J251" s="7">
        <v>37543</v>
      </c>
      <c r="K251" s="7">
        <v>145</v>
      </c>
      <c r="L251" s="1" t="s">
        <v>41</v>
      </c>
      <c r="M251" s="1" t="s">
        <v>18</v>
      </c>
    </row>
    <row r="252" spans="1:13" ht="15.75" customHeight="1">
      <c r="A252" s="1" t="s">
        <v>290</v>
      </c>
      <c r="B252" s="1" t="s">
        <v>24</v>
      </c>
      <c r="C252" s="4">
        <v>45480</v>
      </c>
      <c r="D252" s="1" t="s">
        <v>15</v>
      </c>
      <c r="E252" s="1" t="s">
        <v>34</v>
      </c>
      <c r="F252" s="7">
        <v>1848</v>
      </c>
      <c r="G252" s="7">
        <v>417</v>
      </c>
      <c r="H252" s="7">
        <v>294</v>
      </c>
      <c r="I252" s="7">
        <v>57819</v>
      </c>
      <c r="J252" s="7">
        <v>19798</v>
      </c>
      <c r="K252" s="7">
        <v>262</v>
      </c>
      <c r="L252" s="1" t="s">
        <v>44</v>
      </c>
      <c r="M252" s="1" t="s">
        <v>22</v>
      </c>
    </row>
    <row r="253" spans="1:13" ht="15.75" customHeight="1">
      <c r="A253" s="1" t="s">
        <v>291</v>
      </c>
      <c r="B253" s="1" t="s">
        <v>364</v>
      </c>
      <c r="C253" s="4">
        <v>45591</v>
      </c>
      <c r="D253" s="1" t="s">
        <v>15</v>
      </c>
      <c r="E253" s="1" t="s">
        <v>26</v>
      </c>
      <c r="F253" s="7">
        <v>4676</v>
      </c>
      <c r="G253" s="7">
        <v>211</v>
      </c>
      <c r="H253" s="7">
        <v>55</v>
      </c>
      <c r="I253" s="7">
        <v>45917</v>
      </c>
      <c r="J253" s="7">
        <v>73503</v>
      </c>
      <c r="K253" s="7">
        <v>248</v>
      </c>
      <c r="L253" s="1" t="s">
        <v>32</v>
      </c>
      <c r="M253" s="1" t="s">
        <v>22</v>
      </c>
    </row>
    <row r="254" spans="1:13" ht="15.75" customHeight="1">
      <c r="A254" s="1" t="s">
        <v>292</v>
      </c>
      <c r="B254" s="1" t="s">
        <v>364</v>
      </c>
      <c r="C254" s="4">
        <v>45512</v>
      </c>
      <c r="D254" s="1" t="s">
        <v>15</v>
      </c>
      <c r="E254" s="1" t="s">
        <v>48</v>
      </c>
      <c r="F254" s="7">
        <v>1994</v>
      </c>
      <c r="G254" s="7">
        <v>197</v>
      </c>
      <c r="H254" s="7">
        <v>290</v>
      </c>
      <c r="I254" s="7">
        <v>49500</v>
      </c>
      <c r="J254" s="7">
        <v>23343</v>
      </c>
      <c r="K254" s="7">
        <v>160</v>
      </c>
      <c r="L254" s="1" t="s">
        <v>32</v>
      </c>
      <c r="M254" s="1" t="s">
        <v>22</v>
      </c>
    </row>
    <row r="255" spans="1:13" ht="15.75" customHeight="1">
      <c r="A255" s="1" t="s">
        <v>293</v>
      </c>
      <c r="B255" s="1" t="s">
        <v>24</v>
      </c>
      <c r="C255" s="4">
        <v>45691</v>
      </c>
      <c r="D255" s="1" t="s">
        <v>15</v>
      </c>
      <c r="E255" s="1" t="s">
        <v>34</v>
      </c>
      <c r="F255" s="7">
        <v>4995</v>
      </c>
      <c r="G255" s="7">
        <v>231</v>
      </c>
      <c r="H255" s="7">
        <v>94</v>
      </c>
      <c r="I255" s="7">
        <v>34431</v>
      </c>
      <c r="J255" s="7">
        <v>32560</v>
      </c>
      <c r="K255" s="7">
        <v>262</v>
      </c>
      <c r="L255" s="1" t="s">
        <v>41</v>
      </c>
      <c r="M255" s="1" t="s">
        <v>18</v>
      </c>
    </row>
    <row r="256" spans="1:13" ht="15.75" customHeight="1">
      <c r="A256" s="1" t="s">
        <v>294</v>
      </c>
      <c r="B256" s="1" t="s">
        <v>24</v>
      </c>
      <c r="C256" s="4">
        <v>45385</v>
      </c>
      <c r="D256" s="1" t="s">
        <v>25</v>
      </c>
      <c r="E256" s="1" t="s">
        <v>40</v>
      </c>
      <c r="F256" s="7">
        <v>2291</v>
      </c>
      <c r="G256" s="7">
        <v>146</v>
      </c>
      <c r="H256" s="7">
        <v>399</v>
      </c>
      <c r="I256" s="7">
        <v>49319</v>
      </c>
      <c r="J256" s="7">
        <v>28056</v>
      </c>
      <c r="K256" s="7">
        <v>90</v>
      </c>
      <c r="L256" s="1" t="s">
        <v>38</v>
      </c>
      <c r="M256" s="1" t="s">
        <v>18</v>
      </c>
    </row>
    <row r="257" spans="1:13" ht="15.75" customHeight="1">
      <c r="A257" s="1" t="s">
        <v>295</v>
      </c>
      <c r="B257" s="1" t="s">
        <v>24</v>
      </c>
      <c r="C257" s="4">
        <v>45481</v>
      </c>
      <c r="D257" s="1" t="s">
        <v>25</v>
      </c>
      <c r="E257" s="1" t="s">
        <v>29</v>
      </c>
      <c r="F257" s="7">
        <v>2304</v>
      </c>
      <c r="G257" s="7">
        <v>289</v>
      </c>
      <c r="H257" s="7">
        <v>161</v>
      </c>
      <c r="I257" s="7">
        <v>52645</v>
      </c>
      <c r="J257" s="7">
        <v>66262</v>
      </c>
      <c r="K257" s="7">
        <v>146</v>
      </c>
      <c r="L257" s="1" t="s">
        <v>27</v>
      </c>
      <c r="M257" s="1" t="s">
        <v>18</v>
      </c>
    </row>
    <row r="258" spans="1:13" ht="15.75" customHeight="1">
      <c r="A258" s="1" t="s">
        <v>296</v>
      </c>
      <c r="B258" s="1" t="s">
        <v>24</v>
      </c>
      <c r="C258" s="4">
        <v>45451</v>
      </c>
      <c r="D258" s="1" t="s">
        <v>25</v>
      </c>
      <c r="E258" s="1" t="s">
        <v>40</v>
      </c>
      <c r="F258" s="7">
        <v>3413</v>
      </c>
      <c r="G258" s="7">
        <v>326</v>
      </c>
      <c r="H258" s="7">
        <v>86</v>
      </c>
      <c r="I258" s="7">
        <v>44680</v>
      </c>
      <c r="J258" s="7">
        <v>52719</v>
      </c>
      <c r="K258" s="7">
        <v>272</v>
      </c>
      <c r="L258" s="1" t="s">
        <v>38</v>
      </c>
      <c r="M258" s="1" t="s">
        <v>18</v>
      </c>
    </row>
    <row r="259" spans="1:13" ht="15.75" customHeight="1">
      <c r="A259" s="1" t="s">
        <v>297</v>
      </c>
      <c r="B259" s="1" t="s">
        <v>364</v>
      </c>
      <c r="C259" s="4">
        <v>45736</v>
      </c>
      <c r="D259" s="1" t="s">
        <v>56</v>
      </c>
      <c r="E259" s="1" t="s">
        <v>48</v>
      </c>
      <c r="F259" s="7">
        <v>1453</v>
      </c>
      <c r="G259" s="7">
        <v>156</v>
      </c>
      <c r="H259" s="7">
        <v>178</v>
      </c>
      <c r="I259" s="7">
        <v>52980</v>
      </c>
      <c r="J259" s="7">
        <v>57180</v>
      </c>
      <c r="K259" s="7">
        <v>286</v>
      </c>
      <c r="L259" s="1" t="s">
        <v>57</v>
      </c>
      <c r="M259" s="1" t="s">
        <v>58</v>
      </c>
    </row>
    <row r="260" spans="1:13" ht="15.75" customHeight="1">
      <c r="A260" s="1" t="s">
        <v>298</v>
      </c>
      <c r="B260" s="1" t="s">
        <v>24</v>
      </c>
      <c r="C260" s="4">
        <v>45676</v>
      </c>
      <c r="D260" s="1" t="s">
        <v>25</v>
      </c>
      <c r="E260" s="1" t="s">
        <v>31</v>
      </c>
      <c r="F260" s="7">
        <v>1651</v>
      </c>
      <c r="G260" s="7">
        <v>480</v>
      </c>
      <c r="H260" s="7">
        <v>282</v>
      </c>
      <c r="I260" s="7">
        <v>32140</v>
      </c>
      <c r="J260" s="7">
        <v>70560</v>
      </c>
      <c r="K260" s="7">
        <v>138</v>
      </c>
      <c r="L260" s="1" t="s">
        <v>17</v>
      </c>
      <c r="M260" s="1" t="s">
        <v>18</v>
      </c>
    </row>
    <row r="261" spans="1:13" ht="15.75" customHeight="1">
      <c r="A261" s="1" t="s">
        <v>299</v>
      </c>
      <c r="B261" s="1" t="s">
        <v>24</v>
      </c>
      <c r="C261" s="4">
        <v>45662</v>
      </c>
      <c r="D261" s="1" t="s">
        <v>25</v>
      </c>
      <c r="E261" s="1" t="s">
        <v>20</v>
      </c>
      <c r="F261" s="7">
        <v>3341</v>
      </c>
      <c r="G261" s="7">
        <v>154</v>
      </c>
      <c r="H261" s="7">
        <v>123</v>
      </c>
      <c r="I261" s="7">
        <v>43369</v>
      </c>
      <c r="J261" s="7">
        <v>49035</v>
      </c>
      <c r="K261" s="7">
        <v>128</v>
      </c>
      <c r="L261" s="1" t="s">
        <v>27</v>
      </c>
      <c r="M261" s="1" t="s">
        <v>18</v>
      </c>
    </row>
    <row r="262" spans="1:13" ht="15.75" customHeight="1">
      <c r="A262" s="1" t="s">
        <v>300</v>
      </c>
      <c r="B262" s="1" t="s">
        <v>24</v>
      </c>
      <c r="C262" s="4">
        <v>45612</v>
      </c>
      <c r="D262" s="1" t="s">
        <v>15</v>
      </c>
      <c r="E262" s="1" t="s">
        <v>48</v>
      </c>
      <c r="F262" s="7">
        <v>2972</v>
      </c>
      <c r="G262" s="7">
        <v>263</v>
      </c>
      <c r="H262" s="7">
        <v>308</v>
      </c>
      <c r="I262" s="7">
        <v>51740</v>
      </c>
      <c r="J262" s="7">
        <v>28214</v>
      </c>
      <c r="K262" s="7">
        <v>190</v>
      </c>
      <c r="L262" s="1" t="s">
        <v>44</v>
      </c>
      <c r="M262" s="1" t="s">
        <v>22</v>
      </c>
    </row>
    <row r="263" spans="1:13" ht="15.75" customHeight="1">
      <c r="A263" s="1" t="s">
        <v>301</v>
      </c>
      <c r="B263" s="1" t="s">
        <v>24</v>
      </c>
      <c r="C263" s="4">
        <v>45626</v>
      </c>
      <c r="D263" s="1" t="s">
        <v>25</v>
      </c>
      <c r="E263" s="1" t="s">
        <v>20</v>
      </c>
      <c r="F263" s="7">
        <v>4963</v>
      </c>
      <c r="G263" s="7">
        <v>255</v>
      </c>
      <c r="H263" s="7">
        <v>193</v>
      </c>
      <c r="I263" s="7">
        <v>44386</v>
      </c>
      <c r="J263" s="7">
        <v>28415</v>
      </c>
      <c r="K263" s="7">
        <v>174</v>
      </c>
      <c r="L263" s="1" t="s">
        <v>27</v>
      </c>
      <c r="M263" s="1" t="s">
        <v>18</v>
      </c>
    </row>
    <row r="264" spans="1:13" ht="15.75" customHeight="1">
      <c r="A264" s="1" t="s">
        <v>302</v>
      </c>
      <c r="B264" s="1" t="s">
        <v>364</v>
      </c>
      <c r="C264" s="4">
        <v>45378</v>
      </c>
      <c r="D264" s="1" t="s">
        <v>15</v>
      </c>
      <c r="E264" s="1" t="s">
        <v>31</v>
      </c>
      <c r="F264" s="7">
        <v>2399</v>
      </c>
      <c r="G264" s="7">
        <v>191</v>
      </c>
      <c r="H264" s="7">
        <v>221</v>
      </c>
      <c r="I264" s="7">
        <v>51603</v>
      </c>
      <c r="J264" s="7">
        <v>40033</v>
      </c>
      <c r="K264" s="7">
        <v>173</v>
      </c>
      <c r="L264" s="1" t="s">
        <v>32</v>
      </c>
      <c r="M264" s="1" t="s">
        <v>22</v>
      </c>
    </row>
    <row r="265" spans="1:13" ht="15.75" customHeight="1">
      <c r="A265" s="1" t="s">
        <v>303</v>
      </c>
      <c r="B265" s="1" t="s">
        <v>364</v>
      </c>
      <c r="C265" s="4">
        <v>45808</v>
      </c>
      <c r="D265" s="1" t="s">
        <v>56</v>
      </c>
      <c r="E265" s="1" t="s">
        <v>36</v>
      </c>
      <c r="F265" s="7">
        <v>2162</v>
      </c>
      <c r="G265" s="7">
        <v>318</v>
      </c>
      <c r="H265" s="7">
        <v>83</v>
      </c>
      <c r="I265" s="7">
        <v>46719</v>
      </c>
      <c r="J265" s="7">
        <v>20482</v>
      </c>
      <c r="K265" s="7">
        <v>185</v>
      </c>
      <c r="L265" s="1" t="s">
        <v>57</v>
      </c>
      <c r="M265" s="1" t="s">
        <v>58</v>
      </c>
    </row>
    <row r="266" spans="1:13" ht="15.75" customHeight="1">
      <c r="A266" s="1" t="s">
        <v>304</v>
      </c>
      <c r="B266" s="1" t="s">
        <v>24</v>
      </c>
      <c r="C266" s="4">
        <v>45825</v>
      </c>
      <c r="D266" s="1" t="s">
        <v>25</v>
      </c>
      <c r="E266" s="1" t="s">
        <v>20</v>
      </c>
      <c r="F266" s="7">
        <v>4341</v>
      </c>
      <c r="G266" s="7">
        <v>141</v>
      </c>
      <c r="H266" s="7">
        <v>63</v>
      </c>
      <c r="I266" s="7">
        <v>50081</v>
      </c>
      <c r="J266" s="7">
        <v>27507</v>
      </c>
      <c r="K266" s="7">
        <v>221</v>
      </c>
      <c r="L266" s="1" t="s">
        <v>38</v>
      </c>
      <c r="M266" s="1" t="s">
        <v>18</v>
      </c>
    </row>
    <row r="267" spans="1:13" ht="15.75" customHeight="1">
      <c r="A267" s="1" t="s">
        <v>305</v>
      </c>
      <c r="B267" s="1" t="s">
        <v>14</v>
      </c>
      <c r="C267" s="4">
        <v>45442</v>
      </c>
      <c r="D267" s="1" t="s">
        <v>25</v>
      </c>
      <c r="E267" s="1" t="s">
        <v>36</v>
      </c>
      <c r="F267" s="7">
        <v>2448</v>
      </c>
      <c r="G267" s="7">
        <v>464</v>
      </c>
      <c r="H267" s="7">
        <v>98</v>
      </c>
      <c r="I267" s="7">
        <v>25737</v>
      </c>
      <c r="J267" s="7">
        <v>48545</v>
      </c>
      <c r="K267" s="7">
        <v>246</v>
      </c>
      <c r="L267" s="1" t="s">
        <v>41</v>
      </c>
      <c r="M267" s="1" t="s">
        <v>54</v>
      </c>
    </row>
    <row r="268" spans="1:13" ht="15.75" customHeight="1">
      <c r="A268" s="1" t="s">
        <v>306</v>
      </c>
      <c r="B268" s="1" t="s">
        <v>364</v>
      </c>
      <c r="C268" s="4">
        <v>45604</v>
      </c>
      <c r="D268" s="1" t="s">
        <v>15</v>
      </c>
      <c r="E268" s="1" t="s">
        <v>40</v>
      </c>
      <c r="F268" s="7">
        <v>2471</v>
      </c>
      <c r="G268" s="7">
        <v>166</v>
      </c>
      <c r="H268" s="7">
        <v>320</v>
      </c>
      <c r="I268" s="7">
        <v>48254</v>
      </c>
      <c r="J268" s="7">
        <v>46900</v>
      </c>
      <c r="K268" s="7">
        <v>111</v>
      </c>
      <c r="L268" s="1" t="s">
        <v>32</v>
      </c>
      <c r="M268" s="1" t="s">
        <v>22</v>
      </c>
    </row>
    <row r="269" spans="1:13" ht="15.75" customHeight="1">
      <c r="A269" s="1" t="s">
        <v>307</v>
      </c>
      <c r="B269" s="1" t="s">
        <v>364</v>
      </c>
      <c r="C269" s="4">
        <v>45368</v>
      </c>
      <c r="D269" s="1" t="s">
        <v>56</v>
      </c>
      <c r="E269" s="1" t="s">
        <v>20</v>
      </c>
      <c r="F269" s="7">
        <v>2692</v>
      </c>
      <c r="G269" s="7">
        <v>446</v>
      </c>
      <c r="H269" s="7">
        <v>216</v>
      </c>
      <c r="I269" s="7">
        <v>45818</v>
      </c>
      <c r="J269" s="7">
        <v>62723</v>
      </c>
      <c r="K269" s="7">
        <v>85</v>
      </c>
      <c r="L269" s="1" t="s">
        <v>57</v>
      </c>
      <c r="M269" s="1" t="s">
        <v>58</v>
      </c>
    </row>
    <row r="270" spans="1:13" ht="15.75" customHeight="1">
      <c r="A270" s="1" t="s">
        <v>308</v>
      </c>
      <c r="B270" s="1" t="s">
        <v>364</v>
      </c>
      <c r="C270" s="4">
        <v>45464</v>
      </c>
      <c r="D270" s="1" t="s">
        <v>56</v>
      </c>
      <c r="E270" s="1" t="s">
        <v>31</v>
      </c>
      <c r="F270" s="7">
        <v>4621</v>
      </c>
      <c r="G270" s="7">
        <v>374</v>
      </c>
      <c r="H270" s="7">
        <v>298</v>
      </c>
      <c r="I270" s="7">
        <v>56979</v>
      </c>
      <c r="J270" s="7">
        <v>24098</v>
      </c>
      <c r="K270" s="7">
        <v>205</v>
      </c>
      <c r="L270" s="1" t="s">
        <v>57</v>
      </c>
      <c r="M270" s="1" t="s">
        <v>58</v>
      </c>
    </row>
    <row r="271" spans="1:13" ht="15.75" customHeight="1">
      <c r="A271" s="1" t="s">
        <v>309</v>
      </c>
      <c r="B271" s="1" t="s">
        <v>24</v>
      </c>
      <c r="C271" s="4">
        <v>45609</v>
      </c>
      <c r="D271" s="1" t="s">
        <v>25</v>
      </c>
      <c r="E271" s="1" t="s">
        <v>26</v>
      </c>
      <c r="F271" s="7">
        <v>1409</v>
      </c>
      <c r="G271" s="7">
        <v>466</v>
      </c>
      <c r="H271" s="7">
        <v>105</v>
      </c>
      <c r="I271" s="7">
        <v>58923</v>
      </c>
      <c r="J271" s="7">
        <v>38753</v>
      </c>
      <c r="K271" s="7">
        <v>265</v>
      </c>
      <c r="L271" s="1" t="s">
        <v>38</v>
      </c>
      <c r="M271" s="1" t="s">
        <v>18</v>
      </c>
    </row>
    <row r="272" spans="1:13" ht="15.75" customHeight="1">
      <c r="A272" s="1" t="s">
        <v>310</v>
      </c>
      <c r="B272" s="1" t="s">
        <v>24</v>
      </c>
      <c r="C272" s="4">
        <v>45693</v>
      </c>
      <c r="D272" s="1" t="s">
        <v>25</v>
      </c>
      <c r="E272" s="1" t="s">
        <v>16</v>
      </c>
      <c r="F272" s="7">
        <v>3029</v>
      </c>
      <c r="G272" s="7">
        <v>440</v>
      </c>
      <c r="H272" s="7">
        <v>66</v>
      </c>
      <c r="I272" s="7">
        <v>23815</v>
      </c>
      <c r="J272" s="7">
        <v>47895</v>
      </c>
      <c r="K272" s="7">
        <v>210</v>
      </c>
      <c r="L272" s="1" t="s">
        <v>38</v>
      </c>
      <c r="M272" s="1" t="s">
        <v>18</v>
      </c>
    </row>
    <row r="273" spans="1:13" ht="15.75" customHeight="1">
      <c r="A273" s="1" t="s">
        <v>311</v>
      </c>
      <c r="B273" s="1" t="s">
        <v>24</v>
      </c>
      <c r="C273" s="4">
        <v>45603</v>
      </c>
      <c r="D273" s="1" t="s">
        <v>15</v>
      </c>
      <c r="E273" s="1" t="s">
        <v>20</v>
      </c>
      <c r="F273" s="7">
        <v>2229</v>
      </c>
      <c r="G273" s="7">
        <v>395</v>
      </c>
      <c r="H273" s="7">
        <v>328</v>
      </c>
      <c r="I273" s="7">
        <v>56921</v>
      </c>
      <c r="J273" s="7">
        <v>37176</v>
      </c>
      <c r="K273" s="7">
        <v>126</v>
      </c>
      <c r="L273" s="1" t="s">
        <v>44</v>
      </c>
      <c r="M273" s="1" t="s">
        <v>22</v>
      </c>
    </row>
    <row r="274" spans="1:13" ht="15.75" customHeight="1">
      <c r="A274" s="1" t="s">
        <v>312</v>
      </c>
      <c r="B274" s="1" t="s">
        <v>24</v>
      </c>
      <c r="C274" s="4">
        <v>45334</v>
      </c>
      <c r="D274" s="1" t="s">
        <v>15</v>
      </c>
      <c r="E274" s="1" t="s">
        <v>20</v>
      </c>
      <c r="F274" s="7">
        <v>2691</v>
      </c>
      <c r="G274" s="7">
        <v>486</v>
      </c>
      <c r="H274" s="7">
        <v>206</v>
      </c>
      <c r="I274" s="7">
        <v>51133</v>
      </c>
      <c r="J274" s="7">
        <v>44583</v>
      </c>
      <c r="K274" s="7">
        <v>276</v>
      </c>
      <c r="L274" s="1" t="s">
        <v>41</v>
      </c>
      <c r="M274" s="1" t="s">
        <v>18</v>
      </c>
    </row>
    <row r="275" spans="1:13" ht="15.75" customHeight="1">
      <c r="A275" s="1" t="s">
        <v>313</v>
      </c>
      <c r="B275" s="1" t="s">
        <v>14</v>
      </c>
      <c r="C275" s="4">
        <v>45573</v>
      </c>
      <c r="D275" s="1" t="s">
        <v>15</v>
      </c>
      <c r="E275" s="1" t="s">
        <v>20</v>
      </c>
      <c r="F275" s="7">
        <v>2110</v>
      </c>
      <c r="G275" s="7">
        <v>384</v>
      </c>
      <c r="H275" s="7">
        <v>236</v>
      </c>
      <c r="I275" s="7">
        <v>49965</v>
      </c>
      <c r="J275" s="7">
        <v>61555</v>
      </c>
      <c r="K275" s="7">
        <v>195</v>
      </c>
      <c r="L275" s="1" t="s">
        <v>21</v>
      </c>
      <c r="M275" s="1" t="s">
        <v>22</v>
      </c>
    </row>
    <row r="276" spans="1:13" ht="15.75" customHeight="1">
      <c r="A276" s="1" t="s">
        <v>314</v>
      </c>
      <c r="B276" s="1" t="s">
        <v>14</v>
      </c>
      <c r="C276" s="4">
        <v>45341</v>
      </c>
      <c r="D276" s="1" t="s">
        <v>15</v>
      </c>
      <c r="E276" s="1" t="s">
        <v>29</v>
      </c>
      <c r="F276" s="7">
        <v>4752</v>
      </c>
      <c r="G276" s="7">
        <v>449</v>
      </c>
      <c r="H276" s="7">
        <v>309</v>
      </c>
      <c r="I276" s="7">
        <v>58530</v>
      </c>
      <c r="J276" s="7">
        <v>26630</v>
      </c>
      <c r="K276" s="7">
        <v>234</v>
      </c>
      <c r="L276" s="1" t="s">
        <v>21</v>
      </c>
      <c r="M276" s="1" t="s">
        <v>22</v>
      </c>
    </row>
    <row r="277" spans="1:13" ht="15.75" customHeight="1">
      <c r="A277" s="1" t="s">
        <v>315</v>
      </c>
      <c r="B277" s="1" t="s">
        <v>24</v>
      </c>
      <c r="C277" s="4">
        <v>45720</v>
      </c>
      <c r="D277" s="1" t="s">
        <v>15</v>
      </c>
      <c r="E277" s="1" t="s">
        <v>16</v>
      </c>
      <c r="F277" s="7">
        <v>2177</v>
      </c>
      <c r="G277" s="7">
        <v>258</v>
      </c>
      <c r="H277" s="7">
        <v>292</v>
      </c>
      <c r="I277" s="7">
        <v>47276</v>
      </c>
      <c r="J277" s="7">
        <v>51324</v>
      </c>
      <c r="K277" s="7">
        <v>143</v>
      </c>
      <c r="L277" s="1" t="s">
        <v>41</v>
      </c>
      <c r="M277" s="1" t="s">
        <v>18</v>
      </c>
    </row>
    <row r="278" spans="1:13" ht="15.75" customHeight="1">
      <c r="A278" s="1" t="s">
        <v>316</v>
      </c>
      <c r="B278" s="1" t="s">
        <v>14</v>
      </c>
      <c r="C278" s="4">
        <v>45691</v>
      </c>
      <c r="D278" s="1" t="s">
        <v>25</v>
      </c>
      <c r="E278" s="1" t="s">
        <v>26</v>
      </c>
      <c r="F278" s="7">
        <v>1205</v>
      </c>
      <c r="G278" s="7">
        <v>486</v>
      </c>
      <c r="H278" s="7">
        <v>269</v>
      </c>
      <c r="I278" s="7">
        <v>23341</v>
      </c>
      <c r="J278" s="7">
        <v>42411</v>
      </c>
      <c r="K278" s="7">
        <v>184</v>
      </c>
      <c r="L278" s="1" t="s">
        <v>41</v>
      </c>
      <c r="M278" s="1" t="s">
        <v>54</v>
      </c>
    </row>
    <row r="279" spans="1:13" ht="15.75" customHeight="1">
      <c r="A279" s="1" t="s">
        <v>317</v>
      </c>
      <c r="B279" s="1" t="s">
        <v>14</v>
      </c>
      <c r="C279" s="4">
        <v>45628</v>
      </c>
      <c r="D279" s="1" t="s">
        <v>15</v>
      </c>
      <c r="E279" s="1" t="s">
        <v>40</v>
      </c>
      <c r="F279" s="7">
        <v>3194</v>
      </c>
      <c r="G279" s="7">
        <v>292</v>
      </c>
      <c r="H279" s="7">
        <v>245</v>
      </c>
      <c r="I279" s="7">
        <v>56371</v>
      </c>
      <c r="J279" s="7">
        <v>65597</v>
      </c>
      <c r="K279" s="7">
        <v>163</v>
      </c>
      <c r="L279" s="1" t="s">
        <v>17</v>
      </c>
      <c r="M279" s="1" t="s">
        <v>18</v>
      </c>
    </row>
    <row r="280" spans="1:13" ht="15.75" customHeight="1">
      <c r="A280" s="1" t="s">
        <v>318</v>
      </c>
      <c r="B280" s="1" t="s">
        <v>24</v>
      </c>
      <c r="C280" s="4">
        <v>45676</v>
      </c>
      <c r="D280" s="1" t="s">
        <v>25</v>
      </c>
      <c r="E280" s="1" t="s">
        <v>26</v>
      </c>
      <c r="F280" s="7">
        <v>3507</v>
      </c>
      <c r="G280" s="7">
        <v>295</v>
      </c>
      <c r="H280" s="7">
        <v>371</v>
      </c>
      <c r="I280" s="7">
        <v>20410</v>
      </c>
      <c r="J280" s="7">
        <v>53965</v>
      </c>
      <c r="K280" s="7">
        <v>212</v>
      </c>
      <c r="L280" s="1" t="s">
        <v>17</v>
      </c>
      <c r="M280" s="1" t="s">
        <v>18</v>
      </c>
    </row>
    <row r="281" spans="1:13" ht="15.75" customHeight="1">
      <c r="A281" s="1" t="s">
        <v>319</v>
      </c>
      <c r="B281" s="1" t="s">
        <v>24</v>
      </c>
      <c r="C281" s="4">
        <v>45563</v>
      </c>
      <c r="D281" s="1" t="s">
        <v>25</v>
      </c>
      <c r="E281" s="1" t="s">
        <v>29</v>
      </c>
      <c r="F281" s="7">
        <v>4471</v>
      </c>
      <c r="G281" s="7">
        <v>317</v>
      </c>
      <c r="H281" s="7">
        <v>249</v>
      </c>
      <c r="I281" s="7">
        <v>44862</v>
      </c>
      <c r="J281" s="7">
        <v>33365</v>
      </c>
      <c r="K281" s="7">
        <v>184</v>
      </c>
      <c r="L281" s="1" t="s">
        <v>38</v>
      </c>
      <c r="M281" s="1" t="s">
        <v>18</v>
      </c>
    </row>
    <row r="282" spans="1:13" ht="15.75" customHeight="1">
      <c r="A282" s="1" t="s">
        <v>320</v>
      </c>
      <c r="B282" s="1" t="s">
        <v>14</v>
      </c>
      <c r="C282" s="4">
        <v>45298</v>
      </c>
      <c r="D282" s="1" t="s">
        <v>15</v>
      </c>
      <c r="E282" s="1" t="s">
        <v>40</v>
      </c>
      <c r="F282" s="7">
        <v>4931</v>
      </c>
      <c r="G282" s="7">
        <v>469</v>
      </c>
      <c r="H282" s="7">
        <v>193</v>
      </c>
      <c r="I282" s="7">
        <v>56701</v>
      </c>
      <c r="J282" s="7">
        <v>69437</v>
      </c>
      <c r="K282" s="7">
        <v>291</v>
      </c>
      <c r="L282" s="1" t="s">
        <v>17</v>
      </c>
      <c r="M282" s="1" t="s">
        <v>18</v>
      </c>
    </row>
    <row r="283" spans="1:13" ht="15.75" customHeight="1">
      <c r="A283" s="1" t="s">
        <v>321</v>
      </c>
      <c r="B283" s="1" t="s">
        <v>24</v>
      </c>
      <c r="C283" s="4">
        <v>45343</v>
      </c>
      <c r="D283" s="1" t="s">
        <v>25</v>
      </c>
      <c r="E283" s="1" t="s">
        <v>36</v>
      </c>
      <c r="F283" s="7">
        <v>2604</v>
      </c>
      <c r="G283" s="7">
        <v>439</v>
      </c>
      <c r="H283" s="7">
        <v>148</v>
      </c>
      <c r="I283" s="7">
        <v>58468</v>
      </c>
      <c r="J283" s="7">
        <v>39629</v>
      </c>
      <c r="K283" s="7">
        <v>163</v>
      </c>
      <c r="L283" s="1" t="s">
        <v>27</v>
      </c>
      <c r="M283" s="1" t="s">
        <v>18</v>
      </c>
    </row>
    <row r="284" spans="1:13" ht="15.75" customHeight="1">
      <c r="A284" s="1" t="s">
        <v>322</v>
      </c>
      <c r="B284" s="1" t="s">
        <v>14</v>
      </c>
      <c r="C284" s="4">
        <v>45531</v>
      </c>
      <c r="D284" s="1" t="s">
        <v>15</v>
      </c>
      <c r="E284" s="1" t="s">
        <v>31</v>
      </c>
      <c r="F284" s="7">
        <v>4197</v>
      </c>
      <c r="G284" s="7">
        <v>359</v>
      </c>
      <c r="H284" s="7">
        <v>280</v>
      </c>
      <c r="I284" s="7">
        <v>56048</v>
      </c>
      <c r="J284" s="7">
        <v>70930</v>
      </c>
      <c r="K284" s="7">
        <v>295</v>
      </c>
      <c r="L284" s="1" t="s">
        <v>21</v>
      </c>
      <c r="M284" s="1" t="s">
        <v>22</v>
      </c>
    </row>
    <row r="285" spans="1:13" ht="15.75" customHeight="1">
      <c r="A285" s="1" t="s">
        <v>323</v>
      </c>
      <c r="B285" s="1" t="s">
        <v>14</v>
      </c>
      <c r="C285" s="4">
        <v>45589</v>
      </c>
      <c r="D285" s="1" t="s">
        <v>25</v>
      </c>
      <c r="E285" s="1" t="s">
        <v>40</v>
      </c>
      <c r="F285" s="7">
        <v>1914</v>
      </c>
      <c r="G285" s="7">
        <v>255</v>
      </c>
      <c r="H285" s="7">
        <v>156</v>
      </c>
      <c r="I285" s="7">
        <v>27660</v>
      </c>
      <c r="J285" s="7">
        <v>47776</v>
      </c>
      <c r="K285" s="7">
        <v>111</v>
      </c>
      <c r="L285" s="1" t="s">
        <v>41</v>
      </c>
      <c r="M285" s="1" t="s">
        <v>54</v>
      </c>
    </row>
    <row r="286" spans="1:13" ht="15.75" customHeight="1">
      <c r="A286" s="1" t="s">
        <v>324</v>
      </c>
      <c r="B286" s="1" t="s">
        <v>364</v>
      </c>
      <c r="C286" s="4">
        <v>45686</v>
      </c>
      <c r="D286" s="1" t="s">
        <v>15</v>
      </c>
      <c r="E286" s="1" t="s">
        <v>26</v>
      </c>
      <c r="F286" s="7">
        <v>1334</v>
      </c>
      <c r="G286" s="7">
        <v>357</v>
      </c>
      <c r="H286" s="7">
        <v>257</v>
      </c>
      <c r="I286" s="7">
        <v>56910</v>
      </c>
      <c r="J286" s="7">
        <v>70606</v>
      </c>
      <c r="K286" s="7">
        <v>228</v>
      </c>
      <c r="L286" s="1" t="s">
        <v>32</v>
      </c>
      <c r="M286" s="1" t="s">
        <v>22</v>
      </c>
    </row>
    <row r="287" spans="1:13" ht="15.75" customHeight="1">
      <c r="A287" s="1" t="s">
        <v>325</v>
      </c>
      <c r="B287" s="1" t="s">
        <v>14</v>
      </c>
      <c r="C287" s="4">
        <v>45413</v>
      </c>
      <c r="D287" s="1" t="s">
        <v>15</v>
      </c>
      <c r="E287" s="1" t="s">
        <v>36</v>
      </c>
      <c r="F287" s="7">
        <v>3359</v>
      </c>
      <c r="G287" s="7">
        <v>137</v>
      </c>
      <c r="H287" s="7">
        <v>387</v>
      </c>
      <c r="I287" s="7">
        <v>33861</v>
      </c>
      <c r="J287" s="7">
        <v>47257</v>
      </c>
      <c r="K287" s="7">
        <v>198</v>
      </c>
      <c r="L287" s="1" t="s">
        <v>21</v>
      </c>
      <c r="M287" s="1" t="s">
        <v>22</v>
      </c>
    </row>
    <row r="288" spans="1:13" ht="15.75" customHeight="1">
      <c r="A288" s="1" t="s">
        <v>326</v>
      </c>
      <c r="B288" s="1" t="s">
        <v>364</v>
      </c>
      <c r="C288" s="4">
        <v>45468</v>
      </c>
      <c r="D288" s="1" t="s">
        <v>15</v>
      </c>
      <c r="E288" s="1" t="s">
        <v>50</v>
      </c>
      <c r="F288" s="7">
        <v>2172</v>
      </c>
      <c r="G288" s="7">
        <v>338</v>
      </c>
      <c r="H288" s="7">
        <v>70</v>
      </c>
      <c r="I288" s="7">
        <v>30515</v>
      </c>
      <c r="J288" s="7">
        <v>57853</v>
      </c>
      <c r="K288" s="7">
        <v>156</v>
      </c>
      <c r="L288" s="1" t="s">
        <v>32</v>
      </c>
      <c r="M288" s="1" t="s">
        <v>22</v>
      </c>
    </row>
    <row r="289" spans="1:13" ht="15.75" customHeight="1">
      <c r="A289" s="1" t="s">
        <v>327</v>
      </c>
      <c r="B289" s="1" t="s">
        <v>24</v>
      </c>
      <c r="C289" s="4">
        <v>45513</v>
      </c>
      <c r="D289" s="1" t="s">
        <v>25</v>
      </c>
      <c r="E289" s="1" t="s">
        <v>48</v>
      </c>
      <c r="F289" s="7">
        <v>4877</v>
      </c>
      <c r="G289" s="7">
        <v>442</v>
      </c>
      <c r="H289" s="7">
        <v>236</v>
      </c>
      <c r="I289" s="7">
        <v>52673</v>
      </c>
      <c r="J289" s="7">
        <v>48241</v>
      </c>
      <c r="K289" s="7">
        <v>114</v>
      </c>
      <c r="L289" s="1" t="s">
        <v>38</v>
      </c>
      <c r="M289" s="1" t="s">
        <v>18</v>
      </c>
    </row>
    <row r="290" spans="1:13" ht="15.75" customHeight="1">
      <c r="A290" s="1" t="s">
        <v>328</v>
      </c>
      <c r="B290" s="1" t="s">
        <v>14</v>
      </c>
      <c r="C290" s="4">
        <v>45678</v>
      </c>
      <c r="D290" s="1" t="s">
        <v>25</v>
      </c>
      <c r="E290" s="1" t="s">
        <v>26</v>
      </c>
      <c r="F290" s="7">
        <v>4918</v>
      </c>
      <c r="G290" s="7">
        <v>440</v>
      </c>
      <c r="H290" s="7">
        <v>149</v>
      </c>
      <c r="I290" s="7">
        <v>53269</v>
      </c>
      <c r="J290" s="7">
        <v>64370</v>
      </c>
      <c r="K290" s="7">
        <v>269</v>
      </c>
      <c r="L290" s="1" t="s">
        <v>41</v>
      </c>
      <c r="M290" s="1" t="s">
        <v>54</v>
      </c>
    </row>
    <row r="291" spans="1:13" ht="15.75" customHeight="1">
      <c r="A291" s="1" t="s">
        <v>329</v>
      </c>
      <c r="B291" s="1" t="s">
        <v>24</v>
      </c>
      <c r="C291" s="4">
        <v>45517</v>
      </c>
      <c r="D291" s="1" t="s">
        <v>15</v>
      </c>
      <c r="E291" s="1" t="s">
        <v>20</v>
      </c>
      <c r="F291" s="7">
        <v>3418</v>
      </c>
      <c r="G291" s="7">
        <v>107</v>
      </c>
      <c r="H291" s="7">
        <v>221</v>
      </c>
      <c r="I291" s="7">
        <v>23927</v>
      </c>
      <c r="J291" s="7">
        <v>26182</v>
      </c>
      <c r="K291" s="7">
        <v>155</v>
      </c>
      <c r="L291" s="1" t="s">
        <v>44</v>
      </c>
      <c r="M291" s="1" t="s">
        <v>22</v>
      </c>
    </row>
    <row r="292" spans="1:13" ht="15.75" customHeight="1">
      <c r="A292" s="1" t="s">
        <v>330</v>
      </c>
      <c r="B292" s="1" t="s">
        <v>14</v>
      </c>
      <c r="C292" s="4">
        <v>45472</v>
      </c>
      <c r="D292" s="1" t="s">
        <v>15</v>
      </c>
      <c r="E292" s="1" t="s">
        <v>50</v>
      </c>
      <c r="F292" s="7">
        <v>2088</v>
      </c>
      <c r="G292" s="7">
        <v>490</v>
      </c>
      <c r="H292" s="7">
        <v>124</v>
      </c>
      <c r="I292" s="7">
        <v>46544</v>
      </c>
      <c r="J292" s="7">
        <v>69346</v>
      </c>
      <c r="K292" s="7">
        <v>178</v>
      </c>
      <c r="L292" s="1" t="s">
        <v>17</v>
      </c>
      <c r="M292" s="1" t="s">
        <v>18</v>
      </c>
    </row>
    <row r="293" spans="1:13" ht="15.75" customHeight="1">
      <c r="A293" s="1" t="s">
        <v>331</v>
      </c>
      <c r="B293" s="1" t="s">
        <v>24</v>
      </c>
      <c r="C293" s="4">
        <v>45599</v>
      </c>
      <c r="D293" s="1" t="s">
        <v>25</v>
      </c>
      <c r="E293" s="1" t="s">
        <v>20</v>
      </c>
      <c r="F293" s="7">
        <v>3061</v>
      </c>
      <c r="G293" s="7">
        <v>320</v>
      </c>
      <c r="H293" s="7">
        <v>76</v>
      </c>
      <c r="I293" s="7">
        <v>26640</v>
      </c>
      <c r="J293" s="7">
        <v>24306</v>
      </c>
      <c r="K293" s="7">
        <v>112</v>
      </c>
      <c r="L293" s="1" t="s">
        <v>27</v>
      </c>
      <c r="M293" s="1" t="s">
        <v>18</v>
      </c>
    </row>
    <row r="294" spans="1:13" ht="15.75" customHeight="1">
      <c r="A294" s="1" t="s">
        <v>332</v>
      </c>
      <c r="B294" s="1" t="s">
        <v>364</v>
      </c>
      <c r="C294" s="4">
        <v>45765</v>
      </c>
      <c r="D294" s="1" t="s">
        <v>56</v>
      </c>
      <c r="E294" s="1" t="s">
        <v>50</v>
      </c>
      <c r="F294" s="7">
        <v>1265</v>
      </c>
      <c r="G294" s="7">
        <v>230</v>
      </c>
      <c r="H294" s="7">
        <v>364</v>
      </c>
      <c r="I294" s="7">
        <v>41312</v>
      </c>
      <c r="J294" s="7">
        <v>50382</v>
      </c>
      <c r="K294" s="7">
        <v>106</v>
      </c>
      <c r="L294" s="1" t="s">
        <v>57</v>
      </c>
      <c r="M294" s="1" t="s">
        <v>58</v>
      </c>
    </row>
    <row r="295" spans="1:13" ht="15.75" customHeight="1">
      <c r="A295" s="1" t="s">
        <v>333</v>
      </c>
      <c r="B295" s="1" t="s">
        <v>14</v>
      </c>
      <c r="C295" s="4">
        <v>45653</v>
      </c>
      <c r="D295" s="1" t="s">
        <v>15</v>
      </c>
      <c r="E295" s="1" t="s">
        <v>48</v>
      </c>
      <c r="F295" s="7">
        <v>1436</v>
      </c>
      <c r="G295" s="7">
        <v>219</v>
      </c>
      <c r="H295" s="7">
        <v>229</v>
      </c>
      <c r="I295" s="7">
        <v>58488</v>
      </c>
      <c r="J295" s="7">
        <v>24314</v>
      </c>
      <c r="K295" s="7">
        <v>147</v>
      </c>
      <c r="L295" s="1" t="s">
        <v>21</v>
      </c>
      <c r="M295" s="1" t="s">
        <v>22</v>
      </c>
    </row>
    <row r="296" spans="1:13" ht="15.75" customHeight="1">
      <c r="A296" s="1" t="s">
        <v>334</v>
      </c>
      <c r="B296" s="1" t="s">
        <v>14</v>
      </c>
      <c r="C296" s="4">
        <v>45724</v>
      </c>
      <c r="D296" s="1" t="s">
        <v>25</v>
      </c>
      <c r="E296" s="1" t="s">
        <v>40</v>
      </c>
      <c r="F296" s="7">
        <v>2244</v>
      </c>
      <c r="G296" s="7">
        <v>392</v>
      </c>
      <c r="H296" s="7">
        <v>231</v>
      </c>
      <c r="I296" s="7">
        <v>25834</v>
      </c>
      <c r="J296" s="7">
        <v>50906</v>
      </c>
      <c r="K296" s="7">
        <v>165</v>
      </c>
      <c r="L296" s="1" t="s">
        <v>41</v>
      </c>
      <c r="M296" s="1" t="s">
        <v>54</v>
      </c>
    </row>
    <row r="297" spans="1:13" ht="15.75" customHeight="1">
      <c r="A297" s="1" t="s">
        <v>335</v>
      </c>
      <c r="B297" s="1" t="s">
        <v>24</v>
      </c>
      <c r="C297" s="4">
        <v>45736</v>
      </c>
      <c r="D297" s="1" t="s">
        <v>25</v>
      </c>
      <c r="E297" s="1" t="s">
        <v>50</v>
      </c>
      <c r="F297" s="7">
        <v>3393</v>
      </c>
      <c r="G297" s="7">
        <v>104</v>
      </c>
      <c r="H297" s="7">
        <v>79</v>
      </c>
      <c r="I297" s="7">
        <v>30025</v>
      </c>
      <c r="J297" s="7">
        <v>21593</v>
      </c>
      <c r="K297" s="7">
        <v>165</v>
      </c>
      <c r="L297" s="1" t="s">
        <v>27</v>
      </c>
      <c r="M297" s="1" t="s">
        <v>18</v>
      </c>
    </row>
    <row r="298" spans="1:13" ht="15.75" customHeight="1">
      <c r="A298" s="1" t="s">
        <v>336</v>
      </c>
      <c r="B298" s="1" t="s">
        <v>24</v>
      </c>
      <c r="C298" s="4">
        <v>45612</v>
      </c>
      <c r="D298" s="1" t="s">
        <v>15</v>
      </c>
      <c r="E298" s="1" t="s">
        <v>20</v>
      </c>
      <c r="F298" s="7">
        <v>2901</v>
      </c>
      <c r="G298" s="7">
        <v>108</v>
      </c>
      <c r="H298" s="7">
        <v>86</v>
      </c>
      <c r="I298" s="7">
        <v>51777</v>
      </c>
      <c r="J298" s="7">
        <v>23773</v>
      </c>
      <c r="K298" s="7">
        <v>160</v>
      </c>
      <c r="L298" s="1" t="s">
        <v>44</v>
      </c>
      <c r="M298" s="1" t="s">
        <v>22</v>
      </c>
    </row>
    <row r="299" spans="1:13" ht="15.75" customHeight="1">
      <c r="A299" s="1" t="s">
        <v>337</v>
      </c>
      <c r="B299" s="1" t="s">
        <v>24</v>
      </c>
      <c r="C299" s="4">
        <v>45838</v>
      </c>
      <c r="D299" s="1" t="s">
        <v>15</v>
      </c>
      <c r="E299" s="1" t="s">
        <v>34</v>
      </c>
      <c r="F299" s="7">
        <v>2275</v>
      </c>
      <c r="G299" s="7">
        <v>285</v>
      </c>
      <c r="H299" s="7">
        <v>125</v>
      </c>
      <c r="I299" s="7">
        <v>43970</v>
      </c>
      <c r="J299" s="7">
        <v>74761</v>
      </c>
      <c r="K299" s="7">
        <v>83</v>
      </c>
      <c r="L299" s="1" t="s">
        <v>41</v>
      </c>
      <c r="M299" s="1" t="s">
        <v>18</v>
      </c>
    </row>
    <row r="300" spans="1:13" ht="15.75" customHeight="1">
      <c r="A300" s="1" t="s">
        <v>338</v>
      </c>
      <c r="B300" s="1" t="s">
        <v>24</v>
      </c>
      <c r="C300" s="4">
        <v>45303</v>
      </c>
      <c r="D300" s="1" t="s">
        <v>25</v>
      </c>
      <c r="E300" s="1" t="s">
        <v>29</v>
      </c>
      <c r="F300" s="7">
        <v>2227</v>
      </c>
      <c r="G300" s="7">
        <v>494</v>
      </c>
      <c r="H300" s="7">
        <v>161</v>
      </c>
      <c r="I300" s="7">
        <v>51651</v>
      </c>
      <c r="J300" s="7">
        <v>68074</v>
      </c>
      <c r="K300" s="7">
        <v>240</v>
      </c>
      <c r="L300" s="1" t="s">
        <v>38</v>
      </c>
      <c r="M300" s="1" t="s">
        <v>18</v>
      </c>
    </row>
    <row r="301" spans="1:13" ht="15.75" customHeight="1">
      <c r="A301" s="1" t="s">
        <v>339</v>
      </c>
      <c r="B301" s="1" t="s">
        <v>14</v>
      </c>
      <c r="C301" s="4">
        <v>45329</v>
      </c>
      <c r="D301" s="1" t="s">
        <v>15</v>
      </c>
      <c r="E301" s="1" t="s">
        <v>31</v>
      </c>
      <c r="F301" s="7">
        <v>1883</v>
      </c>
      <c r="G301" s="7">
        <v>432</v>
      </c>
      <c r="H301" s="7">
        <v>397</v>
      </c>
      <c r="I301" s="7">
        <v>28759</v>
      </c>
      <c r="J301" s="7">
        <v>18691</v>
      </c>
      <c r="K301" s="7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0150-710F-4822-89D2-41DC1ADCC542}">
  <dimension ref="A1:AF488"/>
  <sheetViews>
    <sheetView tabSelected="1" topLeftCell="N1" zoomScale="80" zoomScaleNormal="80" workbookViewId="0">
      <selection activeCell="E17" sqref="E17"/>
    </sheetView>
  </sheetViews>
  <sheetFormatPr defaultRowHeight="14.4"/>
  <cols>
    <col min="1" max="1" width="6.88671875" bestFit="1" customWidth="1"/>
    <col min="2" max="2" width="9.109375" bestFit="1" customWidth="1"/>
    <col min="3" max="3" width="10.33203125" bestFit="1" customWidth="1"/>
    <col min="4" max="4" width="12.33203125" bestFit="1" customWidth="1"/>
    <col min="5" max="5" width="38" bestFit="1" customWidth="1"/>
    <col min="6" max="6" width="8" bestFit="1" customWidth="1"/>
    <col min="7" max="7" width="7" bestFit="1" customWidth="1"/>
    <col min="8" max="8" width="10.109375" bestFit="1" customWidth="1"/>
    <col min="9" max="9" width="11" bestFit="1" customWidth="1"/>
    <col min="10" max="10" width="6.109375" bestFit="1" customWidth="1"/>
    <col min="11" max="11" width="5.6640625" bestFit="1" customWidth="1"/>
    <col min="12" max="12" width="17.21875" bestFit="1" customWidth="1"/>
    <col min="13" max="13" width="15.5546875" bestFit="1" customWidth="1"/>
    <col min="14" max="14" width="15.88671875" style="11" bestFit="1" customWidth="1"/>
    <col min="15" max="15" width="10.109375" bestFit="1" customWidth="1"/>
    <col min="19" max="19" width="10.21875" customWidth="1"/>
    <col min="20" max="20" width="12.88671875" customWidth="1"/>
    <col min="21" max="21" width="14.21875" customWidth="1"/>
    <col min="22" max="22" width="34.77734375" customWidth="1"/>
    <col min="25" max="25" width="12" customWidth="1"/>
    <col min="26" max="26" width="12.88671875" customWidth="1"/>
    <col min="29" max="29" width="17.5546875" customWidth="1"/>
    <col min="30" max="30" width="17.33203125" customWidth="1"/>
    <col min="31" max="31" width="17.6640625" style="11" customWidth="1"/>
    <col min="32" max="32" width="12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1" t="s">
        <v>367</v>
      </c>
      <c r="O1" s="12" t="s">
        <v>375</v>
      </c>
      <c r="R1" s="31" t="s">
        <v>464</v>
      </c>
    </row>
    <row r="2" spans="1:32">
      <c r="A2" t="s">
        <v>13</v>
      </c>
      <c r="B2" t="s">
        <v>14</v>
      </c>
      <c r="C2" s="5">
        <v>45781</v>
      </c>
      <c r="D2" t="s">
        <v>15</v>
      </c>
      <c r="E2" t="s">
        <v>16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t="s">
        <v>44</v>
      </c>
      <c r="M2" t="s">
        <v>18</v>
      </c>
      <c r="N2" s="11">
        <f t="shared" ref="N2:N65" si="0">(F2+G2+H2)/I2</f>
        <v>0.13200509890939993</v>
      </c>
      <c r="O2">
        <f t="shared" ref="O2:O65" si="1">_xlfn.RANK.EQ(K2,K:K,0)</f>
        <v>365</v>
      </c>
      <c r="R2" s="31" t="s">
        <v>424</v>
      </c>
    </row>
    <row r="3" spans="1:32">
      <c r="A3" t="s">
        <v>13</v>
      </c>
      <c r="B3" t="s">
        <v>14</v>
      </c>
      <c r="C3" s="5">
        <v>45781</v>
      </c>
      <c r="D3" t="s">
        <v>15</v>
      </c>
      <c r="E3" t="s">
        <v>16</v>
      </c>
      <c r="F3">
        <v>2414</v>
      </c>
      <c r="G3">
        <v>245</v>
      </c>
      <c r="H3">
        <v>137</v>
      </c>
      <c r="I3">
        <v>21181</v>
      </c>
      <c r="J3">
        <v>45292</v>
      </c>
      <c r="K3">
        <v>133</v>
      </c>
      <c r="L3" t="s">
        <v>41</v>
      </c>
      <c r="M3" t="s">
        <v>18</v>
      </c>
      <c r="N3" s="11">
        <f t="shared" si="0"/>
        <v>0.13200509890939993</v>
      </c>
      <c r="O3">
        <f t="shared" si="1"/>
        <v>365</v>
      </c>
      <c r="R3" s="31" t="s">
        <v>425</v>
      </c>
    </row>
    <row r="4" spans="1:32">
      <c r="A4" t="s">
        <v>19</v>
      </c>
      <c r="B4" t="s">
        <v>14</v>
      </c>
      <c r="C4" s="5">
        <v>45689</v>
      </c>
      <c r="D4" t="s">
        <v>15</v>
      </c>
      <c r="E4" t="s">
        <v>20</v>
      </c>
      <c r="F4">
        <v>1934</v>
      </c>
      <c r="G4">
        <v>210</v>
      </c>
      <c r="H4">
        <v>393</v>
      </c>
      <c r="I4">
        <v>29129</v>
      </c>
      <c r="J4">
        <v>73287</v>
      </c>
      <c r="K4">
        <v>273</v>
      </c>
      <c r="L4" t="s">
        <v>21</v>
      </c>
      <c r="M4" t="s">
        <v>22</v>
      </c>
      <c r="N4" s="11">
        <f t="shared" si="0"/>
        <v>8.7095334546328396E-2</v>
      </c>
      <c r="O4">
        <f t="shared" si="1"/>
        <v>62</v>
      </c>
      <c r="R4" t="s">
        <v>0</v>
      </c>
      <c r="S4" t="s">
        <v>1</v>
      </c>
      <c r="T4" t="s">
        <v>2</v>
      </c>
      <c r="U4" t="s">
        <v>3</v>
      </c>
      <c r="V4" t="s">
        <v>4</v>
      </c>
      <c r="W4" t="s">
        <v>5</v>
      </c>
      <c r="X4" t="s">
        <v>6</v>
      </c>
      <c r="Y4" t="s">
        <v>7</v>
      </c>
      <c r="Z4" t="s">
        <v>8</v>
      </c>
      <c r="AA4" t="s">
        <v>9</v>
      </c>
      <c r="AB4" t="s">
        <v>10</v>
      </c>
      <c r="AC4" t="s">
        <v>11</v>
      </c>
      <c r="AD4" t="s">
        <v>12</v>
      </c>
      <c r="AE4" s="11" t="s">
        <v>367</v>
      </c>
      <c r="AF4" t="s">
        <v>375</v>
      </c>
    </row>
    <row r="5" spans="1:32">
      <c r="A5" t="s">
        <v>23</v>
      </c>
      <c r="B5" t="s">
        <v>24</v>
      </c>
      <c r="C5" s="5">
        <v>45629</v>
      </c>
      <c r="D5" t="s">
        <v>25</v>
      </c>
      <c r="E5" t="s">
        <v>26</v>
      </c>
      <c r="F5">
        <v>3092</v>
      </c>
      <c r="G5">
        <v>177</v>
      </c>
      <c r="H5">
        <v>81</v>
      </c>
      <c r="I5">
        <v>47533</v>
      </c>
      <c r="J5">
        <v>29220</v>
      </c>
      <c r="K5">
        <v>121</v>
      </c>
      <c r="L5" t="s">
        <v>365</v>
      </c>
      <c r="M5" t="s">
        <v>18</v>
      </c>
      <c r="N5" s="11">
        <f t="shared" si="0"/>
        <v>7.0477352576105018E-2</v>
      </c>
      <c r="O5">
        <f t="shared" si="1"/>
        <v>387</v>
      </c>
      <c r="R5" t="s">
        <v>35</v>
      </c>
      <c r="S5" t="s">
        <v>24</v>
      </c>
      <c r="T5">
        <v>45645</v>
      </c>
      <c r="U5" t="s">
        <v>25</v>
      </c>
      <c r="V5" t="s">
        <v>36</v>
      </c>
      <c r="W5">
        <v>4674</v>
      </c>
      <c r="X5">
        <v>409</v>
      </c>
      <c r="Y5">
        <v>327</v>
      </c>
      <c r="Z5">
        <v>20756</v>
      </c>
      <c r="AA5">
        <v>63599</v>
      </c>
      <c r="AB5">
        <v>212</v>
      </c>
      <c r="AC5" t="s">
        <v>44</v>
      </c>
      <c r="AD5" t="s">
        <v>18</v>
      </c>
      <c r="AE5" s="38">
        <v>0.26064752360763155</v>
      </c>
      <c r="AF5">
        <v>200</v>
      </c>
    </row>
    <row r="6" spans="1:32">
      <c r="A6" t="s">
        <v>23</v>
      </c>
      <c r="B6" t="s">
        <v>24</v>
      </c>
      <c r="C6" s="5">
        <v>45629</v>
      </c>
      <c r="D6" t="s">
        <v>25</v>
      </c>
      <c r="E6" t="s">
        <v>26</v>
      </c>
      <c r="F6">
        <v>3092</v>
      </c>
      <c r="G6">
        <v>177</v>
      </c>
      <c r="H6">
        <v>81</v>
      </c>
      <c r="I6">
        <v>47533</v>
      </c>
      <c r="J6">
        <v>29220</v>
      </c>
      <c r="K6">
        <v>121</v>
      </c>
      <c r="L6" t="s">
        <v>41</v>
      </c>
      <c r="M6" t="s">
        <v>18</v>
      </c>
      <c r="N6" s="11">
        <f t="shared" si="0"/>
        <v>7.0477352576105018E-2</v>
      </c>
      <c r="O6">
        <f t="shared" si="1"/>
        <v>387</v>
      </c>
      <c r="R6" t="s">
        <v>35</v>
      </c>
      <c r="S6" t="s">
        <v>24</v>
      </c>
      <c r="T6">
        <v>45645</v>
      </c>
      <c r="U6" t="s">
        <v>25</v>
      </c>
      <c r="V6" t="s">
        <v>36</v>
      </c>
      <c r="W6">
        <v>4674</v>
      </c>
      <c r="X6">
        <v>409</v>
      </c>
      <c r="Y6">
        <v>327</v>
      </c>
      <c r="Z6">
        <v>20756</v>
      </c>
      <c r="AA6">
        <v>63599</v>
      </c>
      <c r="AB6">
        <v>212</v>
      </c>
      <c r="AC6" t="s">
        <v>41</v>
      </c>
      <c r="AD6" t="s">
        <v>18</v>
      </c>
      <c r="AE6" s="38">
        <v>0.26064752360763155</v>
      </c>
      <c r="AF6">
        <v>200</v>
      </c>
    </row>
    <row r="7" spans="1:32">
      <c r="A7" t="s">
        <v>28</v>
      </c>
      <c r="B7" t="s">
        <v>14</v>
      </c>
      <c r="C7" s="5">
        <v>45629</v>
      </c>
      <c r="D7" t="s">
        <v>15</v>
      </c>
      <c r="E7" t="s">
        <v>29</v>
      </c>
      <c r="F7">
        <v>3173</v>
      </c>
      <c r="G7">
        <v>229</v>
      </c>
      <c r="H7">
        <v>197</v>
      </c>
      <c r="I7">
        <v>29604</v>
      </c>
      <c r="J7">
        <v>21809</v>
      </c>
      <c r="K7">
        <v>272</v>
      </c>
      <c r="L7" t="s">
        <v>44</v>
      </c>
      <c r="M7" t="s">
        <v>18</v>
      </c>
      <c r="N7" s="11">
        <f t="shared" si="0"/>
        <v>0.1215714092690177</v>
      </c>
      <c r="O7">
        <f t="shared" si="1"/>
        <v>65</v>
      </c>
      <c r="R7" t="s">
        <v>145</v>
      </c>
      <c r="S7" t="s">
        <v>24</v>
      </c>
      <c r="T7">
        <v>45677</v>
      </c>
      <c r="U7" t="s">
        <v>25</v>
      </c>
      <c r="V7" t="s">
        <v>26</v>
      </c>
      <c r="W7">
        <v>4619</v>
      </c>
      <c r="X7">
        <v>272</v>
      </c>
      <c r="Y7">
        <v>57</v>
      </c>
      <c r="Z7">
        <v>21334</v>
      </c>
      <c r="AA7">
        <v>46292</v>
      </c>
      <c r="AB7">
        <v>91</v>
      </c>
      <c r="AC7" t="s">
        <v>44</v>
      </c>
      <c r="AD7" t="s">
        <v>18</v>
      </c>
      <c r="AE7" s="38">
        <v>0.23193025217961938</v>
      </c>
      <c r="AF7">
        <v>452</v>
      </c>
    </row>
    <row r="8" spans="1:32">
      <c r="A8" t="s">
        <v>28</v>
      </c>
      <c r="B8" t="s">
        <v>14</v>
      </c>
      <c r="C8" s="5">
        <v>45629</v>
      </c>
      <c r="D8" t="s">
        <v>15</v>
      </c>
      <c r="E8" t="s">
        <v>29</v>
      </c>
      <c r="F8">
        <v>3173</v>
      </c>
      <c r="G8">
        <v>229</v>
      </c>
      <c r="H8">
        <v>197</v>
      </c>
      <c r="I8">
        <v>29604</v>
      </c>
      <c r="J8">
        <v>21809</v>
      </c>
      <c r="K8">
        <v>272</v>
      </c>
      <c r="L8" t="s">
        <v>41</v>
      </c>
      <c r="M8" t="s">
        <v>18</v>
      </c>
      <c r="N8" s="11">
        <f t="shared" si="0"/>
        <v>0.1215714092690177</v>
      </c>
      <c r="O8">
        <f t="shared" si="1"/>
        <v>65</v>
      </c>
      <c r="R8" t="s">
        <v>145</v>
      </c>
      <c r="S8" t="s">
        <v>24</v>
      </c>
      <c r="T8">
        <v>45677</v>
      </c>
      <c r="U8" t="s">
        <v>25</v>
      </c>
      <c r="V8" t="s">
        <v>26</v>
      </c>
      <c r="W8">
        <v>4619</v>
      </c>
      <c r="X8">
        <v>272</v>
      </c>
      <c r="Y8">
        <v>57</v>
      </c>
      <c r="Z8">
        <v>21334</v>
      </c>
      <c r="AA8">
        <v>46292</v>
      </c>
      <c r="AB8">
        <v>91</v>
      </c>
      <c r="AC8" t="s">
        <v>41</v>
      </c>
      <c r="AD8" t="s">
        <v>18</v>
      </c>
      <c r="AE8" s="38">
        <v>0.23193025217961938</v>
      </c>
      <c r="AF8">
        <v>452</v>
      </c>
    </row>
    <row r="9" spans="1:32">
      <c r="A9" t="s">
        <v>30</v>
      </c>
      <c r="B9" t="s">
        <v>364</v>
      </c>
      <c r="C9" s="5">
        <v>45388</v>
      </c>
      <c r="D9" t="s">
        <v>15</v>
      </c>
      <c r="E9" t="s">
        <v>31</v>
      </c>
      <c r="F9">
        <v>2748</v>
      </c>
      <c r="G9">
        <v>145</v>
      </c>
      <c r="H9">
        <v>315</v>
      </c>
      <c r="I9">
        <v>24401</v>
      </c>
      <c r="J9">
        <v>61182</v>
      </c>
      <c r="K9">
        <v>200</v>
      </c>
      <c r="L9" t="s">
        <v>21</v>
      </c>
      <c r="M9" t="s">
        <v>22</v>
      </c>
      <c r="N9" s="11">
        <f t="shared" si="0"/>
        <v>0.1314700217204213</v>
      </c>
      <c r="O9">
        <f t="shared" si="1"/>
        <v>227</v>
      </c>
      <c r="R9" t="s">
        <v>225</v>
      </c>
      <c r="S9" t="s">
        <v>24</v>
      </c>
      <c r="T9">
        <v>45459</v>
      </c>
      <c r="U9" t="s">
        <v>25</v>
      </c>
      <c r="V9" t="s">
        <v>20</v>
      </c>
      <c r="W9">
        <v>4618</v>
      </c>
      <c r="X9">
        <v>312</v>
      </c>
      <c r="Y9">
        <v>254</v>
      </c>
      <c r="Z9">
        <v>22571</v>
      </c>
      <c r="AA9">
        <v>29453</v>
      </c>
      <c r="AB9">
        <v>197</v>
      </c>
      <c r="AC9" t="s">
        <v>365</v>
      </c>
      <c r="AD9" t="s">
        <v>18</v>
      </c>
      <c r="AE9" s="38">
        <v>0.22967524699836073</v>
      </c>
      <c r="AF9">
        <v>232</v>
      </c>
    </row>
    <row r="10" spans="1:32">
      <c r="A10" t="s">
        <v>30</v>
      </c>
      <c r="B10" t="s">
        <v>364</v>
      </c>
      <c r="C10" s="5">
        <v>45388</v>
      </c>
      <c r="D10" t="s">
        <v>15</v>
      </c>
      <c r="E10" t="s">
        <v>31</v>
      </c>
      <c r="F10">
        <v>2748</v>
      </c>
      <c r="G10">
        <v>145</v>
      </c>
      <c r="H10">
        <v>315</v>
      </c>
      <c r="I10">
        <v>24401</v>
      </c>
      <c r="J10">
        <v>61182</v>
      </c>
      <c r="K10">
        <v>200</v>
      </c>
      <c r="L10" t="s">
        <v>366</v>
      </c>
      <c r="M10" t="s">
        <v>22</v>
      </c>
      <c r="N10" s="11">
        <f t="shared" si="0"/>
        <v>0.1314700217204213</v>
      </c>
      <c r="O10">
        <f t="shared" si="1"/>
        <v>227</v>
      </c>
      <c r="R10" t="s">
        <v>225</v>
      </c>
      <c r="S10" t="s">
        <v>24</v>
      </c>
      <c r="T10">
        <v>45459</v>
      </c>
      <c r="U10" t="s">
        <v>25</v>
      </c>
      <c r="V10" t="s">
        <v>20</v>
      </c>
      <c r="W10">
        <v>4618</v>
      </c>
      <c r="X10">
        <v>312</v>
      </c>
      <c r="Y10">
        <v>254</v>
      </c>
      <c r="Z10">
        <v>22571</v>
      </c>
      <c r="AA10">
        <v>29453</v>
      </c>
      <c r="AB10">
        <v>197</v>
      </c>
      <c r="AC10" t="s">
        <v>41</v>
      </c>
      <c r="AD10" t="s">
        <v>18</v>
      </c>
      <c r="AE10" s="38">
        <v>0.22967524699836073</v>
      </c>
      <c r="AF10">
        <v>232</v>
      </c>
    </row>
    <row r="11" spans="1:32">
      <c r="A11" t="s">
        <v>33</v>
      </c>
      <c r="B11" t="s">
        <v>364</v>
      </c>
      <c r="C11" s="5">
        <v>45456</v>
      </c>
      <c r="D11" t="s">
        <v>15</v>
      </c>
      <c r="E11" t="s">
        <v>34</v>
      </c>
      <c r="F11">
        <v>3882</v>
      </c>
      <c r="G11">
        <v>239</v>
      </c>
      <c r="H11">
        <v>275</v>
      </c>
      <c r="I11">
        <v>58748</v>
      </c>
      <c r="J11">
        <v>44646</v>
      </c>
      <c r="K11">
        <v>149</v>
      </c>
      <c r="L11" t="s">
        <v>21</v>
      </c>
      <c r="M11" t="s">
        <v>22</v>
      </c>
      <c r="N11" s="11">
        <f t="shared" si="0"/>
        <v>7.4828079253761837E-2</v>
      </c>
      <c r="O11">
        <f t="shared" si="1"/>
        <v>342</v>
      </c>
      <c r="R11" t="s">
        <v>318</v>
      </c>
      <c r="S11" t="s">
        <v>24</v>
      </c>
      <c r="T11">
        <v>45676</v>
      </c>
      <c r="U11" t="s">
        <v>25</v>
      </c>
      <c r="V11" t="s">
        <v>26</v>
      </c>
      <c r="W11">
        <v>3507</v>
      </c>
      <c r="X11">
        <v>295</v>
      </c>
      <c r="Y11">
        <v>371</v>
      </c>
      <c r="Z11">
        <v>20410</v>
      </c>
      <c r="AA11">
        <v>53965</v>
      </c>
      <c r="AB11">
        <v>212</v>
      </c>
      <c r="AC11" t="s">
        <v>44</v>
      </c>
      <c r="AD11" t="s">
        <v>18</v>
      </c>
      <c r="AE11" s="38">
        <v>0.20445859872611466</v>
      </c>
      <c r="AF11">
        <v>200</v>
      </c>
    </row>
    <row r="12" spans="1:32">
      <c r="A12" t="s">
        <v>33</v>
      </c>
      <c r="B12" t="s">
        <v>364</v>
      </c>
      <c r="C12" s="5">
        <v>45456</v>
      </c>
      <c r="D12" t="s">
        <v>15</v>
      </c>
      <c r="E12" t="s">
        <v>34</v>
      </c>
      <c r="F12">
        <v>3882</v>
      </c>
      <c r="G12">
        <v>239</v>
      </c>
      <c r="H12">
        <v>275</v>
      </c>
      <c r="I12">
        <v>58748</v>
      </c>
      <c r="J12">
        <v>44646</v>
      </c>
      <c r="K12">
        <v>149</v>
      </c>
      <c r="L12" t="s">
        <v>366</v>
      </c>
      <c r="M12" t="s">
        <v>22</v>
      </c>
      <c r="N12" s="11">
        <f t="shared" si="0"/>
        <v>7.4828079253761837E-2</v>
      </c>
      <c r="O12">
        <f t="shared" si="1"/>
        <v>342</v>
      </c>
      <c r="R12" t="s">
        <v>318</v>
      </c>
      <c r="S12" t="s">
        <v>24</v>
      </c>
      <c r="T12">
        <v>45676</v>
      </c>
      <c r="U12" t="s">
        <v>25</v>
      </c>
      <c r="V12" t="s">
        <v>26</v>
      </c>
      <c r="W12">
        <v>3507</v>
      </c>
      <c r="X12">
        <v>295</v>
      </c>
      <c r="Y12">
        <v>371</v>
      </c>
      <c r="Z12">
        <v>20410</v>
      </c>
      <c r="AA12">
        <v>53965</v>
      </c>
      <c r="AB12">
        <v>212</v>
      </c>
      <c r="AC12" t="s">
        <v>41</v>
      </c>
      <c r="AD12" t="s">
        <v>18</v>
      </c>
      <c r="AE12" s="38">
        <v>0.20445859872611466</v>
      </c>
      <c r="AF12">
        <v>200</v>
      </c>
    </row>
    <row r="13" spans="1:32">
      <c r="A13" t="s">
        <v>35</v>
      </c>
      <c r="B13" t="s">
        <v>24</v>
      </c>
      <c r="C13" s="5">
        <v>45645</v>
      </c>
      <c r="D13" t="s">
        <v>25</v>
      </c>
      <c r="E13" t="s">
        <v>36</v>
      </c>
      <c r="F13">
        <v>4674</v>
      </c>
      <c r="G13">
        <v>409</v>
      </c>
      <c r="H13">
        <v>327</v>
      </c>
      <c r="I13">
        <v>20756</v>
      </c>
      <c r="J13">
        <v>63599</v>
      </c>
      <c r="K13">
        <v>212</v>
      </c>
      <c r="L13" t="s">
        <v>44</v>
      </c>
      <c r="M13" t="s">
        <v>18</v>
      </c>
      <c r="N13" s="11">
        <f t="shared" si="0"/>
        <v>0.26064752360763155</v>
      </c>
      <c r="O13">
        <f t="shared" si="1"/>
        <v>200</v>
      </c>
      <c r="R13" t="s">
        <v>89</v>
      </c>
      <c r="S13" t="s">
        <v>24</v>
      </c>
      <c r="T13">
        <v>45769</v>
      </c>
      <c r="U13" t="s">
        <v>15</v>
      </c>
      <c r="V13" t="s">
        <v>16</v>
      </c>
      <c r="W13">
        <v>4401</v>
      </c>
      <c r="X13">
        <v>421</v>
      </c>
      <c r="Y13">
        <v>216</v>
      </c>
      <c r="Z13">
        <v>24890</v>
      </c>
      <c r="AA13">
        <v>54361</v>
      </c>
      <c r="AB13">
        <v>148</v>
      </c>
      <c r="AC13" t="s">
        <v>41</v>
      </c>
      <c r="AD13" t="s">
        <v>18</v>
      </c>
      <c r="AE13" s="38">
        <v>0.20241060666934513</v>
      </c>
      <c r="AF13">
        <v>344</v>
      </c>
    </row>
    <row r="14" spans="1:32">
      <c r="A14" t="s">
        <v>35</v>
      </c>
      <c r="B14" t="s">
        <v>24</v>
      </c>
      <c r="C14" s="5">
        <v>45645</v>
      </c>
      <c r="D14" t="s">
        <v>25</v>
      </c>
      <c r="E14" t="s">
        <v>36</v>
      </c>
      <c r="F14">
        <v>4674</v>
      </c>
      <c r="G14">
        <v>409</v>
      </c>
      <c r="H14">
        <v>327</v>
      </c>
      <c r="I14">
        <v>20756</v>
      </c>
      <c r="J14">
        <v>63599</v>
      </c>
      <c r="K14">
        <v>212</v>
      </c>
      <c r="L14" t="s">
        <v>41</v>
      </c>
      <c r="M14" t="s">
        <v>18</v>
      </c>
      <c r="N14" s="11">
        <f t="shared" si="0"/>
        <v>0.26064752360763155</v>
      </c>
      <c r="O14">
        <f t="shared" si="1"/>
        <v>200</v>
      </c>
      <c r="R14" t="s">
        <v>61</v>
      </c>
      <c r="S14" t="s">
        <v>14</v>
      </c>
      <c r="T14">
        <v>45823</v>
      </c>
      <c r="U14" t="s">
        <v>15</v>
      </c>
      <c r="V14" t="s">
        <v>34</v>
      </c>
      <c r="W14">
        <v>4896</v>
      </c>
      <c r="X14">
        <v>466</v>
      </c>
      <c r="Y14">
        <v>233</v>
      </c>
      <c r="Z14">
        <v>28621</v>
      </c>
      <c r="AA14">
        <v>34270</v>
      </c>
      <c r="AB14">
        <v>84</v>
      </c>
      <c r="AC14" t="s">
        <v>44</v>
      </c>
      <c r="AD14" t="s">
        <v>18</v>
      </c>
      <c r="AE14" s="38">
        <v>0.19548583208133888</v>
      </c>
      <c r="AF14">
        <v>473</v>
      </c>
    </row>
    <row r="15" spans="1:32">
      <c r="A15" t="s">
        <v>37</v>
      </c>
      <c r="B15" t="s">
        <v>24</v>
      </c>
      <c r="C15" s="5">
        <v>45421</v>
      </c>
      <c r="D15" t="s">
        <v>25</v>
      </c>
      <c r="E15" t="s">
        <v>29</v>
      </c>
      <c r="F15">
        <v>1428</v>
      </c>
      <c r="G15">
        <v>347</v>
      </c>
      <c r="H15">
        <v>67</v>
      </c>
      <c r="I15">
        <v>21148</v>
      </c>
      <c r="J15">
        <v>19712</v>
      </c>
      <c r="K15">
        <v>120</v>
      </c>
      <c r="L15" t="s">
        <v>21</v>
      </c>
      <c r="M15" t="s">
        <v>18</v>
      </c>
      <c r="N15" s="11">
        <f t="shared" si="0"/>
        <v>8.7100435029317191E-2</v>
      </c>
      <c r="O15">
        <f t="shared" si="1"/>
        <v>391</v>
      </c>
      <c r="R15" t="s">
        <v>61</v>
      </c>
      <c r="S15" t="s">
        <v>14</v>
      </c>
      <c r="T15">
        <v>45823</v>
      </c>
      <c r="U15" t="s">
        <v>15</v>
      </c>
      <c r="V15" t="s">
        <v>34</v>
      </c>
      <c r="W15">
        <v>4896</v>
      </c>
      <c r="X15">
        <v>466</v>
      </c>
      <c r="Y15">
        <v>233</v>
      </c>
      <c r="Z15">
        <v>28621</v>
      </c>
      <c r="AA15">
        <v>34270</v>
      </c>
      <c r="AB15">
        <v>84</v>
      </c>
      <c r="AC15" t="s">
        <v>41</v>
      </c>
      <c r="AD15" t="s">
        <v>18</v>
      </c>
      <c r="AE15" s="38">
        <v>0.19548583208133888</v>
      </c>
      <c r="AF15">
        <v>473</v>
      </c>
    </row>
    <row r="16" spans="1:32">
      <c r="A16" t="s">
        <v>37</v>
      </c>
      <c r="B16" t="s">
        <v>24</v>
      </c>
      <c r="C16" s="5">
        <v>45421</v>
      </c>
      <c r="D16" t="s">
        <v>25</v>
      </c>
      <c r="E16" t="s">
        <v>29</v>
      </c>
      <c r="F16">
        <v>1428</v>
      </c>
      <c r="G16">
        <v>347</v>
      </c>
      <c r="H16">
        <v>67</v>
      </c>
      <c r="I16">
        <v>21148</v>
      </c>
      <c r="J16">
        <v>19712</v>
      </c>
      <c r="K16">
        <v>120</v>
      </c>
      <c r="L16" t="s">
        <v>365</v>
      </c>
      <c r="M16" t="s">
        <v>18</v>
      </c>
      <c r="N16" s="11">
        <f t="shared" si="0"/>
        <v>8.7100435029317191E-2</v>
      </c>
      <c r="O16">
        <f t="shared" si="1"/>
        <v>391</v>
      </c>
    </row>
    <row r="17" spans="1:32">
      <c r="A17" t="s">
        <v>39</v>
      </c>
      <c r="B17" t="s">
        <v>24</v>
      </c>
      <c r="C17" s="5">
        <v>45823</v>
      </c>
      <c r="D17" t="s">
        <v>15</v>
      </c>
      <c r="E17" t="s">
        <v>40</v>
      </c>
      <c r="F17">
        <v>4432</v>
      </c>
      <c r="G17">
        <v>223</v>
      </c>
      <c r="H17">
        <v>299</v>
      </c>
      <c r="I17">
        <v>59016</v>
      </c>
      <c r="J17">
        <v>21742</v>
      </c>
      <c r="K17">
        <v>171</v>
      </c>
      <c r="L17" t="s">
        <v>41</v>
      </c>
      <c r="M17" t="s">
        <v>18</v>
      </c>
      <c r="N17" s="11">
        <f t="shared" si="0"/>
        <v>8.3943337400027115E-2</v>
      </c>
      <c r="O17">
        <f t="shared" si="1"/>
        <v>292</v>
      </c>
    </row>
    <row r="18" spans="1:32">
      <c r="A18" t="s">
        <v>42</v>
      </c>
      <c r="B18" t="s">
        <v>24</v>
      </c>
      <c r="C18" s="5">
        <v>45630</v>
      </c>
      <c r="D18" t="s">
        <v>15</v>
      </c>
      <c r="E18" t="s">
        <v>29</v>
      </c>
      <c r="F18">
        <v>2357</v>
      </c>
      <c r="G18">
        <v>274</v>
      </c>
      <c r="H18">
        <v>172</v>
      </c>
      <c r="I18">
        <v>21566</v>
      </c>
      <c r="J18">
        <v>66829</v>
      </c>
      <c r="K18">
        <v>284</v>
      </c>
      <c r="L18" t="s">
        <v>41</v>
      </c>
      <c r="M18" t="s">
        <v>18</v>
      </c>
      <c r="N18" s="11">
        <f t="shared" si="0"/>
        <v>0.12997310581470833</v>
      </c>
      <c r="O18">
        <f t="shared" si="1"/>
        <v>37</v>
      </c>
      <c r="R18" s="31" t="s">
        <v>424</v>
      </c>
    </row>
    <row r="19" spans="1:32">
      <c r="A19" t="s">
        <v>43</v>
      </c>
      <c r="B19" t="s">
        <v>24</v>
      </c>
      <c r="C19" s="5">
        <v>45357</v>
      </c>
      <c r="D19" t="s">
        <v>15</v>
      </c>
      <c r="E19" t="s">
        <v>16</v>
      </c>
      <c r="F19">
        <v>1971</v>
      </c>
      <c r="G19">
        <v>370</v>
      </c>
      <c r="H19">
        <v>306</v>
      </c>
      <c r="I19">
        <v>31316</v>
      </c>
      <c r="J19">
        <v>27897</v>
      </c>
      <c r="K19">
        <v>88</v>
      </c>
      <c r="L19" t="s">
        <v>44</v>
      </c>
      <c r="M19" t="s">
        <v>22</v>
      </c>
      <c r="N19" s="11">
        <f t="shared" si="0"/>
        <v>8.4525482181632389E-2</v>
      </c>
      <c r="O19">
        <f t="shared" si="1"/>
        <v>457</v>
      </c>
      <c r="R19" s="37" t="s">
        <v>431</v>
      </c>
    </row>
    <row r="20" spans="1:32">
      <c r="A20" t="s">
        <v>45</v>
      </c>
      <c r="B20" t="s">
        <v>14</v>
      </c>
      <c r="C20" s="5">
        <v>45426</v>
      </c>
      <c r="D20" t="s">
        <v>15</v>
      </c>
      <c r="E20" t="s">
        <v>16</v>
      </c>
      <c r="F20">
        <v>1485</v>
      </c>
      <c r="G20">
        <v>353</v>
      </c>
      <c r="H20">
        <v>244</v>
      </c>
      <c r="I20">
        <v>38419</v>
      </c>
      <c r="J20">
        <v>38556</v>
      </c>
      <c r="K20">
        <v>86</v>
      </c>
      <c r="L20" t="s">
        <v>44</v>
      </c>
      <c r="M20" t="s">
        <v>18</v>
      </c>
      <c r="N20" s="11">
        <f t="shared" si="0"/>
        <v>5.4191936281527367E-2</v>
      </c>
      <c r="O20">
        <f t="shared" si="1"/>
        <v>467</v>
      </c>
      <c r="R20" t="s">
        <v>0</v>
      </c>
      <c r="S20" t="s">
        <v>1</v>
      </c>
      <c r="T20" t="s">
        <v>2</v>
      </c>
      <c r="U20" t="s">
        <v>3</v>
      </c>
      <c r="V20" t="s">
        <v>4</v>
      </c>
      <c r="W20" t="s">
        <v>5</v>
      </c>
      <c r="X20" t="s">
        <v>6</v>
      </c>
      <c r="Y20" t="s">
        <v>7</v>
      </c>
      <c r="Z20" t="s">
        <v>8</v>
      </c>
      <c r="AA20" t="s">
        <v>9</v>
      </c>
      <c r="AB20" t="s">
        <v>10</v>
      </c>
      <c r="AC20" t="s">
        <v>11</v>
      </c>
      <c r="AD20" t="s">
        <v>12</v>
      </c>
      <c r="AE20" s="11" t="s">
        <v>367</v>
      </c>
      <c r="AF20" t="s">
        <v>375</v>
      </c>
    </row>
    <row r="21" spans="1:32">
      <c r="A21" t="s">
        <v>45</v>
      </c>
      <c r="B21" t="s">
        <v>14</v>
      </c>
      <c r="C21" s="5">
        <v>45426</v>
      </c>
      <c r="D21" t="s">
        <v>15</v>
      </c>
      <c r="E21" t="s">
        <v>16</v>
      </c>
      <c r="F21">
        <v>1485</v>
      </c>
      <c r="G21">
        <v>353</v>
      </c>
      <c r="H21">
        <v>244</v>
      </c>
      <c r="I21">
        <v>38419</v>
      </c>
      <c r="J21">
        <v>38556</v>
      </c>
      <c r="K21">
        <v>86</v>
      </c>
      <c r="L21" t="s">
        <v>41</v>
      </c>
      <c r="M21" t="s">
        <v>18</v>
      </c>
      <c r="N21" s="11">
        <f t="shared" si="0"/>
        <v>5.4191936281527367E-2</v>
      </c>
      <c r="O21">
        <f t="shared" si="1"/>
        <v>467</v>
      </c>
      <c r="R21" t="s">
        <v>163</v>
      </c>
      <c r="S21" t="s">
        <v>24</v>
      </c>
      <c r="T21">
        <v>45421</v>
      </c>
      <c r="U21" t="s">
        <v>25</v>
      </c>
      <c r="V21" t="s">
        <v>26</v>
      </c>
      <c r="W21">
        <v>3277</v>
      </c>
      <c r="X21">
        <v>423</v>
      </c>
      <c r="Y21">
        <v>259</v>
      </c>
      <c r="Z21">
        <v>46328</v>
      </c>
      <c r="AA21">
        <v>44293</v>
      </c>
      <c r="AB21">
        <v>299</v>
      </c>
      <c r="AC21" t="s">
        <v>44</v>
      </c>
      <c r="AD21" t="s">
        <v>18</v>
      </c>
      <c r="AE21" s="11">
        <v>8.5455879813503707E-2</v>
      </c>
      <c r="AF21" s="40">
        <v>1</v>
      </c>
    </row>
    <row r="22" spans="1:32">
      <c r="A22" t="s">
        <v>46</v>
      </c>
      <c r="B22" t="s">
        <v>24</v>
      </c>
      <c r="C22" s="5">
        <v>45826</v>
      </c>
      <c r="D22" t="s">
        <v>25</v>
      </c>
      <c r="E22" t="s">
        <v>16</v>
      </c>
      <c r="F22">
        <v>3956</v>
      </c>
      <c r="G22">
        <v>319</v>
      </c>
      <c r="H22">
        <v>61</v>
      </c>
      <c r="I22">
        <v>58162</v>
      </c>
      <c r="J22">
        <v>28720</v>
      </c>
      <c r="K22">
        <v>213</v>
      </c>
      <c r="L22" t="s">
        <v>365</v>
      </c>
      <c r="M22" t="s">
        <v>18</v>
      </c>
      <c r="N22" s="11">
        <f t="shared" si="0"/>
        <v>7.4550393727863554E-2</v>
      </c>
      <c r="O22">
        <f t="shared" si="1"/>
        <v>193</v>
      </c>
      <c r="R22" t="s">
        <v>163</v>
      </c>
      <c r="S22" t="s">
        <v>24</v>
      </c>
      <c r="T22">
        <v>45421</v>
      </c>
      <c r="U22" t="s">
        <v>25</v>
      </c>
      <c r="V22" t="s">
        <v>26</v>
      </c>
      <c r="W22">
        <v>3277</v>
      </c>
      <c r="X22">
        <v>423</v>
      </c>
      <c r="Y22">
        <v>259</v>
      </c>
      <c r="Z22">
        <v>46328</v>
      </c>
      <c r="AA22">
        <v>44293</v>
      </c>
      <c r="AB22">
        <v>299</v>
      </c>
      <c r="AC22" t="s">
        <v>41</v>
      </c>
      <c r="AD22" t="s">
        <v>18</v>
      </c>
      <c r="AE22" s="11">
        <v>8.5455879813503707E-2</v>
      </c>
      <c r="AF22" s="40">
        <v>1</v>
      </c>
    </row>
    <row r="23" spans="1:32">
      <c r="A23" t="s">
        <v>46</v>
      </c>
      <c r="B23" t="s">
        <v>24</v>
      </c>
      <c r="C23" s="5">
        <v>45826</v>
      </c>
      <c r="D23" t="s">
        <v>25</v>
      </c>
      <c r="E23" t="s">
        <v>16</v>
      </c>
      <c r="F23">
        <v>3956</v>
      </c>
      <c r="G23">
        <v>319</v>
      </c>
      <c r="H23">
        <v>61</v>
      </c>
      <c r="I23">
        <v>58162</v>
      </c>
      <c r="J23">
        <v>28720</v>
      </c>
      <c r="K23">
        <v>213</v>
      </c>
      <c r="L23" t="s">
        <v>41</v>
      </c>
      <c r="M23" t="s">
        <v>18</v>
      </c>
      <c r="N23" s="11">
        <f t="shared" si="0"/>
        <v>7.4550393727863554E-2</v>
      </c>
      <c r="O23">
        <f t="shared" si="1"/>
        <v>193</v>
      </c>
      <c r="R23" t="s">
        <v>127</v>
      </c>
      <c r="S23" t="s">
        <v>24</v>
      </c>
      <c r="T23">
        <v>45705</v>
      </c>
      <c r="U23" t="s">
        <v>25</v>
      </c>
      <c r="V23" t="s">
        <v>34</v>
      </c>
      <c r="W23">
        <v>4796</v>
      </c>
      <c r="X23">
        <v>427</v>
      </c>
      <c r="Y23">
        <v>339</v>
      </c>
      <c r="Z23">
        <v>30752</v>
      </c>
      <c r="AA23">
        <v>33870</v>
      </c>
      <c r="AB23">
        <v>298</v>
      </c>
      <c r="AC23" t="s">
        <v>44</v>
      </c>
      <c r="AD23" t="s">
        <v>18</v>
      </c>
      <c r="AE23" s="11">
        <v>0.18086628511966701</v>
      </c>
      <c r="AF23" s="40">
        <v>3</v>
      </c>
    </row>
    <row r="24" spans="1:32">
      <c r="A24" t="s">
        <v>47</v>
      </c>
      <c r="B24" t="s">
        <v>24</v>
      </c>
      <c r="C24" s="5">
        <v>45573</v>
      </c>
      <c r="D24" t="s">
        <v>15</v>
      </c>
      <c r="E24" t="s">
        <v>48</v>
      </c>
      <c r="F24">
        <v>2460</v>
      </c>
      <c r="G24">
        <v>409</v>
      </c>
      <c r="H24">
        <v>253</v>
      </c>
      <c r="I24">
        <v>36702</v>
      </c>
      <c r="J24">
        <v>46122</v>
      </c>
      <c r="K24">
        <v>264</v>
      </c>
      <c r="L24" t="s">
        <v>41</v>
      </c>
      <c r="M24" t="s">
        <v>18</v>
      </c>
      <c r="N24" s="11">
        <f t="shared" si="0"/>
        <v>8.5063484278785892E-2</v>
      </c>
      <c r="O24">
        <f t="shared" si="1"/>
        <v>96</v>
      </c>
      <c r="R24" t="s">
        <v>127</v>
      </c>
      <c r="S24" t="s">
        <v>24</v>
      </c>
      <c r="T24">
        <v>45705</v>
      </c>
      <c r="U24" t="s">
        <v>25</v>
      </c>
      <c r="V24" t="s">
        <v>34</v>
      </c>
      <c r="W24">
        <v>4796</v>
      </c>
      <c r="X24">
        <v>427</v>
      </c>
      <c r="Y24">
        <v>339</v>
      </c>
      <c r="Z24">
        <v>30752</v>
      </c>
      <c r="AA24">
        <v>33870</v>
      </c>
      <c r="AB24">
        <v>298</v>
      </c>
      <c r="AC24" t="s">
        <v>41</v>
      </c>
      <c r="AD24" t="s">
        <v>18</v>
      </c>
      <c r="AE24" s="11">
        <v>0.18086628511966701</v>
      </c>
      <c r="AF24" s="40">
        <v>3</v>
      </c>
    </row>
    <row r="25" spans="1:32">
      <c r="A25" t="s">
        <v>49</v>
      </c>
      <c r="B25" t="s">
        <v>24</v>
      </c>
      <c r="C25" s="5">
        <v>45418</v>
      </c>
      <c r="D25" t="s">
        <v>15</v>
      </c>
      <c r="E25" t="s">
        <v>50</v>
      </c>
      <c r="F25">
        <v>3476</v>
      </c>
      <c r="G25">
        <v>355</v>
      </c>
      <c r="H25">
        <v>396</v>
      </c>
      <c r="I25">
        <v>37492</v>
      </c>
      <c r="J25">
        <v>27285</v>
      </c>
      <c r="K25">
        <v>179</v>
      </c>
      <c r="L25" t="s">
        <v>41</v>
      </c>
      <c r="M25" t="s">
        <v>18</v>
      </c>
      <c r="N25" s="11">
        <f t="shared" si="0"/>
        <v>0.11274405206444041</v>
      </c>
      <c r="O25">
        <f t="shared" si="1"/>
        <v>265</v>
      </c>
      <c r="R25" t="s">
        <v>206</v>
      </c>
      <c r="S25" t="s">
        <v>364</v>
      </c>
      <c r="T25">
        <v>45684</v>
      </c>
      <c r="U25" t="s">
        <v>15</v>
      </c>
      <c r="V25" t="s">
        <v>29</v>
      </c>
      <c r="W25">
        <v>4294</v>
      </c>
      <c r="X25">
        <v>423</v>
      </c>
      <c r="Y25">
        <v>93</v>
      </c>
      <c r="Z25">
        <v>29828</v>
      </c>
      <c r="AA25">
        <v>73144</v>
      </c>
      <c r="AB25">
        <v>298</v>
      </c>
      <c r="AC25" t="s">
        <v>21</v>
      </c>
      <c r="AD25" t="s">
        <v>22</v>
      </c>
      <c r="AE25" s="11">
        <v>0.1612578785034196</v>
      </c>
      <c r="AF25" s="40">
        <v>3</v>
      </c>
    </row>
    <row r="26" spans="1:32">
      <c r="A26" t="s">
        <v>51</v>
      </c>
      <c r="B26" t="s">
        <v>24</v>
      </c>
      <c r="C26" s="5">
        <v>45655</v>
      </c>
      <c r="D26" t="s">
        <v>25</v>
      </c>
      <c r="E26" t="s">
        <v>26</v>
      </c>
      <c r="F26">
        <v>4049</v>
      </c>
      <c r="G26">
        <v>377</v>
      </c>
      <c r="H26">
        <v>94</v>
      </c>
      <c r="I26">
        <v>48182</v>
      </c>
      <c r="J26">
        <v>42875</v>
      </c>
      <c r="K26">
        <v>172</v>
      </c>
      <c r="L26" t="s">
        <v>365</v>
      </c>
      <c r="M26" t="s">
        <v>18</v>
      </c>
      <c r="N26" s="11">
        <f t="shared" si="0"/>
        <v>9.3810966751068869E-2</v>
      </c>
      <c r="O26">
        <f t="shared" si="1"/>
        <v>288</v>
      </c>
      <c r="R26" t="s">
        <v>206</v>
      </c>
      <c r="S26" t="s">
        <v>364</v>
      </c>
      <c r="T26">
        <v>45684</v>
      </c>
      <c r="U26" t="s">
        <v>15</v>
      </c>
      <c r="V26" t="s">
        <v>29</v>
      </c>
      <c r="W26">
        <v>4294</v>
      </c>
      <c r="X26">
        <v>423</v>
      </c>
      <c r="Y26">
        <v>93</v>
      </c>
      <c r="Z26">
        <v>29828</v>
      </c>
      <c r="AA26">
        <v>73144</v>
      </c>
      <c r="AB26">
        <v>298</v>
      </c>
      <c r="AC26" t="s">
        <v>366</v>
      </c>
      <c r="AD26" t="s">
        <v>22</v>
      </c>
      <c r="AE26" s="11">
        <v>0.1612578785034196</v>
      </c>
      <c r="AF26" s="40">
        <v>3</v>
      </c>
    </row>
    <row r="27" spans="1:32">
      <c r="A27" t="s">
        <v>51</v>
      </c>
      <c r="B27" t="s">
        <v>24</v>
      </c>
      <c r="C27" s="5">
        <v>45655</v>
      </c>
      <c r="D27" t="s">
        <v>25</v>
      </c>
      <c r="E27" t="s">
        <v>26</v>
      </c>
      <c r="F27">
        <v>4049</v>
      </c>
      <c r="G27">
        <v>377</v>
      </c>
      <c r="H27">
        <v>94</v>
      </c>
      <c r="I27">
        <v>48182</v>
      </c>
      <c r="J27">
        <v>42875</v>
      </c>
      <c r="K27">
        <v>172</v>
      </c>
      <c r="L27" t="s">
        <v>41</v>
      </c>
      <c r="M27" t="s">
        <v>18</v>
      </c>
      <c r="N27" s="11">
        <f t="shared" si="0"/>
        <v>9.3810966751068869E-2</v>
      </c>
      <c r="O27">
        <f t="shared" si="1"/>
        <v>288</v>
      </c>
      <c r="R27" t="s">
        <v>276</v>
      </c>
      <c r="S27" t="s">
        <v>364</v>
      </c>
      <c r="T27">
        <v>45305</v>
      </c>
      <c r="U27" t="s">
        <v>15</v>
      </c>
      <c r="V27" t="s">
        <v>34</v>
      </c>
      <c r="W27">
        <v>4502</v>
      </c>
      <c r="X27">
        <v>238</v>
      </c>
      <c r="Y27">
        <v>386</v>
      </c>
      <c r="Z27">
        <v>39198</v>
      </c>
      <c r="AA27">
        <v>25050</v>
      </c>
      <c r="AB27">
        <v>297</v>
      </c>
      <c r="AC27" t="s">
        <v>21</v>
      </c>
      <c r="AD27" t="s">
        <v>22</v>
      </c>
      <c r="AE27" s="11">
        <v>0.13077197816215114</v>
      </c>
      <c r="AF27" s="40">
        <v>7</v>
      </c>
    </row>
    <row r="28" spans="1:32">
      <c r="A28" t="s">
        <v>52</v>
      </c>
      <c r="B28" t="s">
        <v>24</v>
      </c>
      <c r="C28" s="5">
        <v>45453</v>
      </c>
      <c r="D28" t="s">
        <v>15</v>
      </c>
      <c r="E28" t="s">
        <v>34</v>
      </c>
      <c r="F28">
        <v>1514</v>
      </c>
      <c r="G28">
        <v>164</v>
      </c>
      <c r="H28">
        <v>275</v>
      </c>
      <c r="I28">
        <v>41364</v>
      </c>
      <c r="J28">
        <v>44389</v>
      </c>
      <c r="K28">
        <v>83</v>
      </c>
      <c r="L28" t="s">
        <v>41</v>
      </c>
      <c r="M28" t="s">
        <v>18</v>
      </c>
      <c r="N28" s="11">
        <f t="shared" si="0"/>
        <v>4.7214969538729328E-2</v>
      </c>
      <c r="O28">
        <f t="shared" si="1"/>
        <v>475</v>
      </c>
      <c r="R28" t="s">
        <v>276</v>
      </c>
      <c r="S28" t="s">
        <v>364</v>
      </c>
      <c r="T28">
        <v>45305</v>
      </c>
      <c r="U28" t="s">
        <v>15</v>
      </c>
      <c r="V28" t="s">
        <v>34</v>
      </c>
      <c r="W28">
        <v>4502</v>
      </c>
      <c r="X28">
        <v>238</v>
      </c>
      <c r="Y28">
        <v>386</v>
      </c>
      <c r="Z28">
        <v>39198</v>
      </c>
      <c r="AA28">
        <v>25050</v>
      </c>
      <c r="AB28">
        <v>297</v>
      </c>
      <c r="AC28" t="s">
        <v>366</v>
      </c>
      <c r="AD28" t="s">
        <v>22</v>
      </c>
      <c r="AE28" s="11">
        <v>0.13077197816215114</v>
      </c>
      <c r="AF28" s="40">
        <v>7</v>
      </c>
    </row>
    <row r="29" spans="1:32">
      <c r="A29" t="s">
        <v>53</v>
      </c>
      <c r="B29" t="s">
        <v>14</v>
      </c>
      <c r="C29" s="5">
        <v>45325</v>
      </c>
      <c r="D29" t="s">
        <v>25</v>
      </c>
      <c r="E29" t="s">
        <v>31</v>
      </c>
      <c r="F29">
        <v>4281</v>
      </c>
      <c r="G29">
        <v>101</v>
      </c>
      <c r="H29">
        <v>163</v>
      </c>
      <c r="I29">
        <v>32278</v>
      </c>
      <c r="J29">
        <v>53382</v>
      </c>
      <c r="K29">
        <v>235</v>
      </c>
      <c r="L29" t="s">
        <v>41</v>
      </c>
      <c r="M29" t="s">
        <v>54</v>
      </c>
      <c r="N29" s="11">
        <f t="shared" si="0"/>
        <v>0.1408079806679472</v>
      </c>
      <c r="O29">
        <f t="shared" si="1"/>
        <v>146</v>
      </c>
      <c r="R29" t="s">
        <v>176</v>
      </c>
      <c r="S29" t="s">
        <v>24</v>
      </c>
      <c r="T29">
        <v>45387</v>
      </c>
      <c r="U29" t="s">
        <v>25</v>
      </c>
      <c r="V29" t="s">
        <v>26</v>
      </c>
      <c r="W29">
        <v>4965</v>
      </c>
      <c r="X29">
        <v>175</v>
      </c>
      <c r="Y29">
        <v>307</v>
      </c>
      <c r="Z29">
        <v>32793</v>
      </c>
      <c r="AA29">
        <v>43412</v>
      </c>
      <c r="AB29">
        <v>296</v>
      </c>
      <c r="AC29" t="s">
        <v>44</v>
      </c>
      <c r="AD29" t="s">
        <v>18</v>
      </c>
      <c r="AE29" s="11">
        <v>0.16610252187966945</v>
      </c>
      <c r="AF29" s="40">
        <v>9</v>
      </c>
    </row>
    <row r="30" spans="1:32">
      <c r="A30" t="s">
        <v>55</v>
      </c>
      <c r="B30" t="s">
        <v>364</v>
      </c>
      <c r="C30" s="5">
        <v>45458</v>
      </c>
      <c r="D30" t="s">
        <v>56</v>
      </c>
      <c r="E30" t="s">
        <v>36</v>
      </c>
      <c r="F30">
        <v>1751</v>
      </c>
      <c r="G30">
        <v>143</v>
      </c>
      <c r="H30">
        <v>151</v>
      </c>
      <c r="I30">
        <v>31826</v>
      </c>
      <c r="J30">
        <v>47729</v>
      </c>
      <c r="K30">
        <v>95</v>
      </c>
      <c r="L30" t="s">
        <v>21</v>
      </c>
      <c r="M30" t="s">
        <v>58</v>
      </c>
      <c r="N30" s="11">
        <f t="shared" si="0"/>
        <v>6.4255640042732362E-2</v>
      </c>
      <c r="O30">
        <f t="shared" si="1"/>
        <v>447</v>
      </c>
      <c r="R30" t="s">
        <v>176</v>
      </c>
      <c r="S30" t="s">
        <v>24</v>
      </c>
      <c r="T30">
        <v>45387</v>
      </c>
      <c r="U30" t="s">
        <v>25</v>
      </c>
      <c r="V30" t="s">
        <v>26</v>
      </c>
      <c r="W30">
        <v>4965</v>
      </c>
      <c r="X30">
        <v>175</v>
      </c>
      <c r="Y30">
        <v>307</v>
      </c>
      <c r="Z30">
        <v>32793</v>
      </c>
      <c r="AA30">
        <v>43412</v>
      </c>
      <c r="AB30">
        <v>296</v>
      </c>
      <c r="AC30" t="s">
        <v>41</v>
      </c>
      <c r="AD30" t="s">
        <v>18</v>
      </c>
      <c r="AE30" s="11">
        <v>0.16610252187966945</v>
      </c>
      <c r="AF30" s="40">
        <v>9</v>
      </c>
    </row>
    <row r="31" spans="1:32">
      <c r="A31" t="s">
        <v>55</v>
      </c>
      <c r="B31" t="s">
        <v>364</v>
      </c>
      <c r="C31" s="5">
        <v>45458</v>
      </c>
      <c r="D31" t="s">
        <v>56</v>
      </c>
      <c r="E31" t="s">
        <v>36</v>
      </c>
      <c r="F31">
        <v>1751</v>
      </c>
      <c r="G31">
        <v>143</v>
      </c>
      <c r="H31">
        <v>151</v>
      </c>
      <c r="I31">
        <v>31826</v>
      </c>
      <c r="J31">
        <v>47729</v>
      </c>
      <c r="K31">
        <v>95</v>
      </c>
      <c r="L31" t="s">
        <v>44</v>
      </c>
      <c r="M31" t="s">
        <v>58</v>
      </c>
      <c r="N31" s="11">
        <f t="shared" si="0"/>
        <v>6.4255640042732362E-2</v>
      </c>
      <c r="O31">
        <f t="shared" si="1"/>
        <v>447</v>
      </c>
      <c r="R31" t="s">
        <v>251</v>
      </c>
      <c r="S31" t="s">
        <v>24</v>
      </c>
      <c r="T31">
        <v>45827</v>
      </c>
      <c r="U31" t="s">
        <v>25</v>
      </c>
      <c r="V31" t="s">
        <v>34</v>
      </c>
      <c r="W31">
        <v>1433</v>
      </c>
      <c r="X31">
        <v>452</v>
      </c>
      <c r="Y31">
        <v>305</v>
      </c>
      <c r="Z31">
        <v>54541</v>
      </c>
      <c r="AA31">
        <v>63700</v>
      </c>
      <c r="AB31">
        <v>296</v>
      </c>
      <c r="AC31" t="s">
        <v>21</v>
      </c>
      <c r="AD31" t="s">
        <v>18</v>
      </c>
      <c r="AE31" s="11">
        <v>4.0153279184466734E-2</v>
      </c>
      <c r="AF31" s="40">
        <v>9</v>
      </c>
    </row>
    <row r="32" spans="1:32">
      <c r="A32" t="s">
        <v>59</v>
      </c>
      <c r="B32" t="s">
        <v>14</v>
      </c>
      <c r="C32" s="5">
        <v>45478</v>
      </c>
      <c r="D32" t="s">
        <v>15</v>
      </c>
      <c r="E32" t="s">
        <v>50</v>
      </c>
      <c r="F32">
        <v>3753</v>
      </c>
      <c r="G32">
        <v>411</v>
      </c>
      <c r="H32">
        <v>308</v>
      </c>
      <c r="I32">
        <v>29138</v>
      </c>
      <c r="J32">
        <v>27678</v>
      </c>
      <c r="K32">
        <v>90</v>
      </c>
      <c r="L32" t="s">
        <v>21</v>
      </c>
      <c r="M32" t="s">
        <v>22</v>
      </c>
      <c r="N32" s="11">
        <f t="shared" si="0"/>
        <v>0.15347655981879332</v>
      </c>
      <c r="O32">
        <f t="shared" si="1"/>
        <v>454</v>
      </c>
      <c r="R32" t="s">
        <v>251</v>
      </c>
      <c r="S32" t="s">
        <v>24</v>
      </c>
      <c r="T32">
        <v>45827</v>
      </c>
      <c r="U32" t="s">
        <v>25</v>
      </c>
      <c r="V32" t="s">
        <v>34</v>
      </c>
      <c r="W32">
        <v>1433</v>
      </c>
      <c r="X32">
        <v>452</v>
      </c>
      <c r="Y32">
        <v>305</v>
      </c>
      <c r="Z32">
        <v>54541</v>
      </c>
      <c r="AA32">
        <v>63700</v>
      </c>
      <c r="AB32">
        <v>296</v>
      </c>
      <c r="AC32" t="s">
        <v>365</v>
      </c>
      <c r="AD32" t="s">
        <v>18</v>
      </c>
      <c r="AE32" s="11">
        <v>4.0153279184466734E-2</v>
      </c>
      <c r="AF32" s="40">
        <v>9</v>
      </c>
    </row>
    <row r="33" spans="1:15">
      <c r="A33" t="s">
        <v>60</v>
      </c>
      <c r="B33" t="s">
        <v>14</v>
      </c>
      <c r="C33" s="5">
        <v>45603</v>
      </c>
      <c r="D33" t="s">
        <v>25</v>
      </c>
      <c r="E33" t="s">
        <v>29</v>
      </c>
      <c r="F33">
        <v>1678</v>
      </c>
      <c r="G33">
        <v>423</v>
      </c>
      <c r="H33">
        <v>323</v>
      </c>
      <c r="I33">
        <v>55668</v>
      </c>
      <c r="J33">
        <v>37945</v>
      </c>
      <c r="K33">
        <v>230</v>
      </c>
      <c r="L33" t="s">
        <v>41</v>
      </c>
      <c r="M33" t="s">
        <v>54</v>
      </c>
      <c r="N33" s="11">
        <f t="shared" si="0"/>
        <v>4.3543867212761371E-2</v>
      </c>
      <c r="O33">
        <f t="shared" si="1"/>
        <v>155</v>
      </c>
    </row>
    <row r="34" spans="1:15">
      <c r="A34" t="s">
        <v>61</v>
      </c>
      <c r="B34" t="s">
        <v>14</v>
      </c>
      <c r="C34" s="5">
        <v>45823</v>
      </c>
      <c r="D34" t="s">
        <v>15</v>
      </c>
      <c r="E34" t="s">
        <v>34</v>
      </c>
      <c r="F34">
        <v>4896</v>
      </c>
      <c r="G34">
        <v>466</v>
      </c>
      <c r="H34">
        <v>233</v>
      </c>
      <c r="I34">
        <v>28621</v>
      </c>
      <c r="J34">
        <v>34270</v>
      </c>
      <c r="K34">
        <v>84</v>
      </c>
      <c r="L34" t="s">
        <v>44</v>
      </c>
      <c r="M34" t="s">
        <v>18</v>
      </c>
      <c r="N34" s="11">
        <f t="shared" si="0"/>
        <v>0.19548583208133888</v>
      </c>
      <c r="O34">
        <f t="shared" si="1"/>
        <v>473</v>
      </c>
    </row>
    <row r="35" spans="1:15">
      <c r="A35" t="s">
        <v>61</v>
      </c>
      <c r="B35" t="s">
        <v>14</v>
      </c>
      <c r="C35" s="5">
        <v>45823</v>
      </c>
      <c r="D35" t="s">
        <v>15</v>
      </c>
      <c r="E35" t="s">
        <v>34</v>
      </c>
      <c r="F35">
        <v>4896</v>
      </c>
      <c r="G35">
        <v>466</v>
      </c>
      <c r="H35">
        <v>233</v>
      </c>
      <c r="I35">
        <v>28621</v>
      </c>
      <c r="J35">
        <v>34270</v>
      </c>
      <c r="K35">
        <v>84</v>
      </c>
      <c r="L35" t="s">
        <v>41</v>
      </c>
      <c r="M35" t="s">
        <v>18</v>
      </c>
      <c r="N35" s="11">
        <f t="shared" si="0"/>
        <v>0.19548583208133888</v>
      </c>
      <c r="O35">
        <f t="shared" si="1"/>
        <v>473</v>
      </c>
    </row>
    <row r="36" spans="1:15">
      <c r="A36" t="s">
        <v>62</v>
      </c>
      <c r="B36" t="s">
        <v>364</v>
      </c>
      <c r="C36" s="5">
        <v>45452</v>
      </c>
      <c r="D36" t="s">
        <v>56</v>
      </c>
      <c r="E36" t="s">
        <v>48</v>
      </c>
      <c r="F36">
        <v>2786</v>
      </c>
      <c r="G36">
        <v>368</v>
      </c>
      <c r="H36">
        <v>208</v>
      </c>
      <c r="I36">
        <v>42000</v>
      </c>
      <c r="J36">
        <v>39967</v>
      </c>
      <c r="K36">
        <v>103</v>
      </c>
      <c r="L36" t="s">
        <v>21</v>
      </c>
      <c r="M36" t="s">
        <v>58</v>
      </c>
      <c r="N36" s="11">
        <f t="shared" si="0"/>
        <v>8.0047619047619048E-2</v>
      </c>
      <c r="O36">
        <f t="shared" si="1"/>
        <v>432</v>
      </c>
    </row>
    <row r="37" spans="1:15">
      <c r="A37" t="s">
        <v>62</v>
      </c>
      <c r="B37" t="s">
        <v>364</v>
      </c>
      <c r="C37" s="5">
        <v>45452</v>
      </c>
      <c r="D37" t="s">
        <v>56</v>
      </c>
      <c r="E37" t="s">
        <v>48</v>
      </c>
      <c r="F37">
        <v>2786</v>
      </c>
      <c r="G37">
        <v>368</v>
      </c>
      <c r="H37">
        <v>208</v>
      </c>
      <c r="I37">
        <v>42000</v>
      </c>
      <c r="J37">
        <v>39967</v>
      </c>
      <c r="K37">
        <v>103</v>
      </c>
      <c r="L37" t="s">
        <v>44</v>
      </c>
      <c r="M37" t="s">
        <v>58</v>
      </c>
      <c r="N37" s="11">
        <f t="shared" si="0"/>
        <v>8.0047619047619048E-2</v>
      </c>
      <c r="O37">
        <f t="shared" si="1"/>
        <v>432</v>
      </c>
    </row>
    <row r="38" spans="1:15">
      <c r="A38" t="s">
        <v>63</v>
      </c>
      <c r="B38" t="s">
        <v>24</v>
      </c>
      <c r="C38" s="5">
        <v>45583</v>
      </c>
      <c r="D38" t="s">
        <v>15</v>
      </c>
      <c r="E38" t="s">
        <v>26</v>
      </c>
      <c r="F38">
        <v>2607</v>
      </c>
      <c r="G38">
        <v>379</v>
      </c>
      <c r="H38">
        <v>180</v>
      </c>
      <c r="I38">
        <v>28712</v>
      </c>
      <c r="J38">
        <v>61620</v>
      </c>
      <c r="K38">
        <v>174</v>
      </c>
      <c r="L38" t="s">
        <v>44</v>
      </c>
      <c r="M38" t="s">
        <v>22</v>
      </c>
      <c r="N38" s="11">
        <f t="shared" si="0"/>
        <v>0.11026748397882419</v>
      </c>
      <c r="O38">
        <f t="shared" si="1"/>
        <v>279</v>
      </c>
    </row>
    <row r="39" spans="1:15">
      <c r="A39" t="s">
        <v>64</v>
      </c>
      <c r="B39" t="s">
        <v>364</v>
      </c>
      <c r="C39" s="5">
        <v>45575</v>
      </c>
      <c r="D39" t="s">
        <v>56</v>
      </c>
      <c r="E39" t="s">
        <v>48</v>
      </c>
      <c r="F39">
        <v>4013</v>
      </c>
      <c r="G39">
        <v>320</v>
      </c>
      <c r="H39">
        <v>92</v>
      </c>
      <c r="I39">
        <v>54605</v>
      </c>
      <c r="J39">
        <v>60169</v>
      </c>
      <c r="K39">
        <v>232</v>
      </c>
      <c r="L39" t="s">
        <v>21</v>
      </c>
      <c r="M39" t="s">
        <v>58</v>
      </c>
      <c r="N39" s="11">
        <f t="shared" si="0"/>
        <v>8.1036535115831879E-2</v>
      </c>
      <c r="O39">
        <f t="shared" si="1"/>
        <v>148</v>
      </c>
    </row>
    <row r="40" spans="1:15">
      <c r="A40" t="s">
        <v>64</v>
      </c>
      <c r="B40" t="s">
        <v>364</v>
      </c>
      <c r="C40" s="5">
        <v>45575</v>
      </c>
      <c r="D40" t="s">
        <v>56</v>
      </c>
      <c r="E40" t="s">
        <v>48</v>
      </c>
      <c r="F40">
        <v>4013</v>
      </c>
      <c r="G40">
        <v>320</v>
      </c>
      <c r="H40">
        <v>92</v>
      </c>
      <c r="I40">
        <v>54605</v>
      </c>
      <c r="J40">
        <v>60169</v>
      </c>
      <c r="K40">
        <v>232</v>
      </c>
      <c r="L40" t="s">
        <v>44</v>
      </c>
      <c r="M40" t="s">
        <v>58</v>
      </c>
      <c r="N40" s="11">
        <f t="shared" si="0"/>
        <v>8.1036535115831879E-2</v>
      </c>
      <c r="O40">
        <f t="shared" si="1"/>
        <v>148</v>
      </c>
    </row>
    <row r="41" spans="1:15">
      <c r="A41" t="s">
        <v>65</v>
      </c>
      <c r="B41" t="s">
        <v>24</v>
      </c>
      <c r="C41" s="5">
        <v>45791</v>
      </c>
      <c r="D41" t="s">
        <v>25</v>
      </c>
      <c r="E41" t="s">
        <v>48</v>
      </c>
      <c r="F41">
        <v>2707</v>
      </c>
      <c r="G41">
        <v>103</v>
      </c>
      <c r="H41">
        <v>51</v>
      </c>
      <c r="I41">
        <v>55302</v>
      </c>
      <c r="J41">
        <v>18801</v>
      </c>
      <c r="K41">
        <v>147</v>
      </c>
      <c r="L41" t="s">
        <v>21</v>
      </c>
      <c r="M41" t="s">
        <v>18</v>
      </c>
      <c r="N41" s="11">
        <f t="shared" si="0"/>
        <v>5.173411449857148E-2</v>
      </c>
      <c r="O41">
        <f t="shared" si="1"/>
        <v>346</v>
      </c>
    </row>
    <row r="42" spans="1:15">
      <c r="A42" t="s">
        <v>65</v>
      </c>
      <c r="B42" t="s">
        <v>24</v>
      </c>
      <c r="C42" s="5">
        <v>45791</v>
      </c>
      <c r="D42" t="s">
        <v>25</v>
      </c>
      <c r="E42" t="s">
        <v>48</v>
      </c>
      <c r="F42">
        <v>2707</v>
      </c>
      <c r="G42">
        <v>103</v>
      </c>
      <c r="H42">
        <v>51</v>
      </c>
      <c r="I42">
        <v>55302</v>
      </c>
      <c r="J42">
        <v>18801</v>
      </c>
      <c r="K42">
        <v>147</v>
      </c>
      <c r="L42" t="s">
        <v>365</v>
      </c>
      <c r="M42" t="s">
        <v>18</v>
      </c>
      <c r="N42" s="11">
        <f t="shared" si="0"/>
        <v>5.173411449857148E-2</v>
      </c>
      <c r="O42">
        <f t="shared" si="1"/>
        <v>346</v>
      </c>
    </row>
    <row r="43" spans="1:15">
      <c r="A43" t="s">
        <v>66</v>
      </c>
      <c r="B43" t="s">
        <v>14</v>
      </c>
      <c r="C43" s="5">
        <v>45625</v>
      </c>
      <c r="D43" t="s">
        <v>15</v>
      </c>
      <c r="E43" t="s">
        <v>34</v>
      </c>
      <c r="F43">
        <v>2824</v>
      </c>
      <c r="G43">
        <v>425</v>
      </c>
      <c r="H43">
        <v>274</v>
      </c>
      <c r="I43">
        <v>31004</v>
      </c>
      <c r="J43">
        <v>53488</v>
      </c>
      <c r="K43">
        <v>268</v>
      </c>
      <c r="L43" t="s">
        <v>44</v>
      </c>
      <c r="M43" t="s">
        <v>18</v>
      </c>
      <c r="N43" s="11">
        <f t="shared" si="0"/>
        <v>0.11363049929041415</v>
      </c>
      <c r="O43">
        <f t="shared" si="1"/>
        <v>84</v>
      </c>
    </row>
    <row r="44" spans="1:15">
      <c r="A44" t="s">
        <v>66</v>
      </c>
      <c r="B44" t="s">
        <v>14</v>
      </c>
      <c r="C44" s="5">
        <v>45625</v>
      </c>
      <c r="D44" t="s">
        <v>15</v>
      </c>
      <c r="E44" t="s">
        <v>34</v>
      </c>
      <c r="F44">
        <v>2824</v>
      </c>
      <c r="G44">
        <v>425</v>
      </c>
      <c r="H44">
        <v>274</v>
      </c>
      <c r="I44">
        <v>31004</v>
      </c>
      <c r="J44">
        <v>53488</v>
      </c>
      <c r="K44">
        <v>268</v>
      </c>
      <c r="L44" t="s">
        <v>41</v>
      </c>
      <c r="M44" t="s">
        <v>18</v>
      </c>
      <c r="N44" s="11">
        <f t="shared" si="0"/>
        <v>0.11363049929041415</v>
      </c>
      <c r="O44">
        <f t="shared" si="1"/>
        <v>84</v>
      </c>
    </row>
    <row r="45" spans="1:15">
      <c r="A45" t="s">
        <v>67</v>
      </c>
      <c r="B45" t="s">
        <v>364</v>
      </c>
      <c r="C45" s="5">
        <v>45356</v>
      </c>
      <c r="D45" t="s">
        <v>56</v>
      </c>
      <c r="E45" t="s">
        <v>20</v>
      </c>
      <c r="F45">
        <v>3558</v>
      </c>
      <c r="G45">
        <v>314</v>
      </c>
      <c r="H45">
        <v>199</v>
      </c>
      <c r="I45">
        <v>49612</v>
      </c>
      <c r="J45">
        <v>53929</v>
      </c>
      <c r="K45">
        <v>206</v>
      </c>
      <c r="L45" t="s">
        <v>21</v>
      </c>
      <c r="M45" t="s">
        <v>58</v>
      </c>
      <c r="N45" s="11">
        <f t="shared" si="0"/>
        <v>8.205676046117874E-2</v>
      </c>
      <c r="O45">
        <f t="shared" si="1"/>
        <v>212</v>
      </c>
    </row>
    <row r="46" spans="1:15">
      <c r="A46" t="s">
        <v>67</v>
      </c>
      <c r="B46" t="s">
        <v>364</v>
      </c>
      <c r="C46" s="5">
        <v>45356</v>
      </c>
      <c r="D46" t="s">
        <v>56</v>
      </c>
      <c r="E46" t="s">
        <v>20</v>
      </c>
      <c r="F46">
        <v>3558</v>
      </c>
      <c r="G46">
        <v>314</v>
      </c>
      <c r="H46">
        <v>199</v>
      </c>
      <c r="I46">
        <v>49612</v>
      </c>
      <c r="J46">
        <v>53929</v>
      </c>
      <c r="K46">
        <v>206</v>
      </c>
      <c r="L46" t="s">
        <v>44</v>
      </c>
      <c r="M46" t="s">
        <v>58</v>
      </c>
      <c r="N46" s="11">
        <f t="shared" si="0"/>
        <v>8.205676046117874E-2</v>
      </c>
      <c r="O46">
        <f t="shared" si="1"/>
        <v>212</v>
      </c>
    </row>
    <row r="47" spans="1:15">
      <c r="A47" t="s">
        <v>68</v>
      </c>
      <c r="B47" t="s">
        <v>24</v>
      </c>
      <c r="C47" s="5">
        <v>45734</v>
      </c>
      <c r="D47" t="s">
        <v>25</v>
      </c>
      <c r="E47" t="s">
        <v>20</v>
      </c>
      <c r="F47">
        <v>3418</v>
      </c>
      <c r="G47">
        <v>188</v>
      </c>
      <c r="H47">
        <v>387</v>
      </c>
      <c r="I47">
        <v>57431</v>
      </c>
      <c r="J47">
        <v>36933</v>
      </c>
      <c r="K47">
        <v>202</v>
      </c>
      <c r="L47" t="s">
        <v>365</v>
      </c>
      <c r="M47" t="s">
        <v>18</v>
      </c>
      <c r="N47" s="11">
        <f t="shared" si="0"/>
        <v>6.9526910553533799E-2</v>
      </c>
      <c r="O47">
        <f t="shared" si="1"/>
        <v>223</v>
      </c>
    </row>
    <row r="48" spans="1:15">
      <c r="A48" t="s">
        <v>68</v>
      </c>
      <c r="B48" t="s">
        <v>24</v>
      </c>
      <c r="C48" s="5">
        <v>45734</v>
      </c>
      <c r="D48" t="s">
        <v>25</v>
      </c>
      <c r="E48" t="s">
        <v>20</v>
      </c>
      <c r="F48">
        <v>3418</v>
      </c>
      <c r="G48">
        <v>188</v>
      </c>
      <c r="H48">
        <v>387</v>
      </c>
      <c r="I48">
        <v>57431</v>
      </c>
      <c r="J48">
        <v>36933</v>
      </c>
      <c r="K48">
        <v>202</v>
      </c>
      <c r="L48" t="s">
        <v>41</v>
      </c>
      <c r="M48" t="s">
        <v>18</v>
      </c>
      <c r="N48" s="11">
        <f t="shared" si="0"/>
        <v>6.9526910553533799E-2</v>
      </c>
      <c r="O48">
        <f t="shared" si="1"/>
        <v>223</v>
      </c>
    </row>
    <row r="49" spans="1:15">
      <c r="A49" t="s">
        <v>69</v>
      </c>
      <c r="B49" t="s">
        <v>24</v>
      </c>
      <c r="C49" s="5">
        <v>45773</v>
      </c>
      <c r="D49" t="s">
        <v>15</v>
      </c>
      <c r="E49" t="s">
        <v>16</v>
      </c>
      <c r="F49">
        <v>2411</v>
      </c>
      <c r="G49">
        <v>194</v>
      </c>
      <c r="H49">
        <v>168</v>
      </c>
      <c r="I49">
        <v>26665</v>
      </c>
      <c r="J49">
        <v>71699</v>
      </c>
      <c r="K49">
        <v>197</v>
      </c>
      <c r="L49" t="s">
        <v>41</v>
      </c>
      <c r="M49" t="s">
        <v>18</v>
      </c>
      <c r="N49" s="11">
        <f t="shared" si="0"/>
        <v>0.10399399962497656</v>
      </c>
      <c r="O49">
        <f t="shared" si="1"/>
        <v>232</v>
      </c>
    </row>
    <row r="50" spans="1:15">
      <c r="A50" t="s">
        <v>70</v>
      </c>
      <c r="B50" t="s">
        <v>14</v>
      </c>
      <c r="C50" s="5">
        <v>45658</v>
      </c>
      <c r="D50" t="s">
        <v>15</v>
      </c>
      <c r="E50" t="s">
        <v>26</v>
      </c>
      <c r="F50">
        <v>4036</v>
      </c>
      <c r="G50">
        <v>112</v>
      </c>
      <c r="H50">
        <v>382</v>
      </c>
      <c r="I50">
        <v>56284</v>
      </c>
      <c r="J50">
        <v>29440</v>
      </c>
      <c r="K50">
        <v>279</v>
      </c>
      <c r="L50" t="s">
        <v>44</v>
      </c>
      <c r="M50" t="s">
        <v>18</v>
      </c>
      <c r="N50" s="11">
        <f t="shared" si="0"/>
        <v>8.0484684812735408E-2</v>
      </c>
      <c r="O50">
        <f t="shared" si="1"/>
        <v>44</v>
      </c>
    </row>
    <row r="51" spans="1:15">
      <c r="A51" t="s">
        <v>70</v>
      </c>
      <c r="B51" t="s">
        <v>14</v>
      </c>
      <c r="C51" s="5">
        <v>45658</v>
      </c>
      <c r="D51" t="s">
        <v>15</v>
      </c>
      <c r="E51" t="s">
        <v>26</v>
      </c>
      <c r="F51">
        <v>4036</v>
      </c>
      <c r="G51">
        <v>112</v>
      </c>
      <c r="H51">
        <v>382</v>
      </c>
      <c r="I51">
        <v>56284</v>
      </c>
      <c r="J51">
        <v>29440</v>
      </c>
      <c r="K51">
        <v>279</v>
      </c>
      <c r="L51" t="s">
        <v>41</v>
      </c>
      <c r="M51" t="s">
        <v>18</v>
      </c>
      <c r="N51" s="11">
        <f t="shared" si="0"/>
        <v>8.0484684812735408E-2</v>
      </c>
      <c r="O51">
        <f t="shared" si="1"/>
        <v>44</v>
      </c>
    </row>
    <row r="52" spans="1:15">
      <c r="A52" t="s">
        <v>71</v>
      </c>
      <c r="B52" t="s">
        <v>24</v>
      </c>
      <c r="C52" s="5">
        <v>45419</v>
      </c>
      <c r="D52" t="s">
        <v>25</v>
      </c>
      <c r="E52" t="s">
        <v>20</v>
      </c>
      <c r="F52">
        <v>2776</v>
      </c>
      <c r="G52">
        <v>307</v>
      </c>
      <c r="H52">
        <v>178</v>
      </c>
      <c r="I52">
        <v>43365</v>
      </c>
      <c r="J52">
        <v>48408</v>
      </c>
      <c r="K52">
        <v>138</v>
      </c>
      <c r="L52" t="s">
        <v>44</v>
      </c>
      <c r="M52" t="s">
        <v>18</v>
      </c>
      <c r="N52" s="11">
        <f t="shared" si="0"/>
        <v>7.519889311656866E-2</v>
      </c>
      <c r="O52">
        <f t="shared" si="1"/>
        <v>359</v>
      </c>
    </row>
    <row r="53" spans="1:15">
      <c r="A53" t="s">
        <v>71</v>
      </c>
      <c r="B53" t="s">
        <v>24</v>
      </c>
      <c r="C53" s="5">
        <v>45419</v>
      </c>
      <c r="D53" t="s">
        <v>25</v>
      </c>
      <c r="E53" t="s">
        <v>20</v>
      </c>
      <c r="F53">
        <v>2776</v>
      </c>
      <c r="G53">
        <v>307</v>
      </c>
      <c r="H53">
        <v>178</v>
      </c>
      <c r="I53">
        <v>43365</v>
      </c>
      <c r="J53">
        <v>48408</v>
      </c>
      <c r="K53">
        <v>138</v>
      </c>
      <c r="L53" t="s">
        <v>41</v>
      </c>
      <c r="M53" t="s">
        <v>18</v>
      </c>
      <c r="N53" s="11">
        <f t="shared" si="0"/>
        <v>7.519889311656866E-2</v>
      </c>
      <c r="O53">
        <f t="shared" si="1"/>
        <v>359</v>
      </c>
    </row>
    <row r="54" spans="1:15">
      <c r="A54" t="s">
        <v>72</v>
      </c>
      <c r="B54" t="s">
        <v>24</v>
      </c>
      <c r="C54" s="5">
        <v>45574</v>
      </c>
      <c r="D54" t="s">
        <v>25</v>
      </c>
      <c r="E54" t="s">
        <v>16</v>
      </c>
      <c r="F54">
        <v>4929</v>
      </c>
      <c r="G54">
        <v>182</v>
      </c>
      <c r="H54">
        <v>95</v>
      </c>
      <c r="I54">
        <v>32181</v>
      </c>
      <c r="J54">
        <v>31084</v>
      </c>
      <c r="K54">
        <v>289</v>
      </c>
      <c r="L54" t="s">
        <v>21</v>
      </c>
      <c r="M54" t="s">
        <v>18</v>
      </c>
      <c r="N54" s="11">
        <f t="shared" si="0"/>
        <v>0.16177247444144061</v>
      </c>
      <c r="O54">
        <f t="shared" si="1"/>
        <v>25</v>
      </c>
    </row>
    <row r="55" spans="1:15">
      <c r="A55" t="s">
        <v>72</v>
      </c>
      <c r="B55" t="s">
        <v>24</v>
      </c>
      <c r="C55" s="5">
        <v>45574</v>
      </c>
      <c r="D55" t="s">
        <v>25</v>
      </c>
      <c r="E55" t="s">
        <v>16</v>
      </c>
      <c r="F55">
        <v>4929</v>
      </c>
      <c r="G55">
        <v>182</v>
      </c>
      <c r="H55">
        <v>95</v>
      </c>
      <c r="I55">
        <v>32181</v>
      </c>
      <c r="J55">
        <v>31084</v>
      </c>
      <c r="K55">
        <v>289</v>
      </c>
      <c r="L55" t="s">
        <v>365</v>
      </c>
      <c r="M55" t="s">
        <v>18</v>
      </c>
      <c r="N55" s="11">
        <f t="shared" si="0"/>
        <v>0.16177247444144061</v>
      </c>
      <c r="O55">
        <f t="shared" si="1"/>
        <v>25</v>
      </c>
    </row>
    <row r="56" spans="1:15">
      <c r="A56" t="s">
        <v>73</v>
      </c>
      <c r="B56" t="s">
        <v>14</v>
      </c>
      <c r="C56" s="5">
        <v>45666</v>
      </c>
      <c r="D56" t="s">
        <v>15</v>
      </c>
      <c r="E56" t="s">
        <v>26</v>
      </c>
      <c r="F56">
        <v>1015</v>
      </c>
      <c r="G56">
        <v>366</v>
      </c>
      <c r="H56">
        <v>308</v>
      </c>
      <c r="I56">
        <v>38127</v>
      </c>
      <c r="J56">
        <v>63790</v>
      </c>
      <c r="K56">
        <v>287</v>
      </c>
      <c r="L56" t="s">
        <v>44</v>
      </c>
      <c r="M56" t="s">
        <v>18</v>
      </c>
      <c r="N56" s="11">
        <f t="shared" si="0"/>
        <v>4.4299315445747112E-2</v>
      </c>
      <c r="O56">
        <f t="shared" si="1"/>
        <v>29</v>
      </c>
    </row>
    <row r="57" spans="1:15">
      <c r="A57" t="s">
        <v>73</v>
      </c>
      <c r="B57" t="s">
        <v>14</v>
      </c>
      <c r="C57" s="5">
        <v>45666</v>
      </c>
      <c r="D57" t="s">
        <v>15</v>
      </c>
      <c r="E57" t="s">
        <v>26</v>
      </c>
      <c r="F57">
        <v>1015</v>
      </c>
      <c r="G57">
        <v>366</v>
      </c>
      <c r="H57">
        <v>308</v>
      </c>
      <c r="I57">
        <v>38127</v>
      </c>
      <c r="J57">
        <v>63790</v>
      </c>
      <c r="K57">
        <v>287</v>
      </c>
      <c r="L57" t="s">
        <v>41</v>
      </c>
      <c r="M57" t="s">
        <v>18</v>
      </c>
      <c r="N57" s="11">
        <f t="shared" si="0"/>
        <v>4.4299315445747112E-2</v>
      </c>
      <c r="O57">
        <f t="shared" si="1"/>
        <v>29</v>
      </c>
    </row>
    <row r="58" spans="1:15">
      <c r="A58" t="s">
        <v>74</v>
      </c>
      <c r="B58" t="s">
        <v>24</v>
      </c>
      <c r="C58" s="5">
        <v>45785</v>
      </c>
      <c r="D58" t="s">
        <v>25</v>
      </c>
      <c r="E58" t="s">
        <v>50</v>
      </c>
      <c r="F58">
        <v>3316</v>
      </c>
      <c r="G58">
        <v>332</v>
      </c>
      <c r="H58">
        <v>268</v>
      </c>
      <c r="I58">
        <v>40095</v>
      </c>
      <c r="J58">
        <v>36913</v>
      </c>
      <c r="K58">
        <v>265</v>
      </c>
      <c r="L58" t="s">
        <v>365</v>
      </c>
      <c r="M58" t="s">
        <v>18</v>
      </c>
      <c r="N58" s="11">
        <f t="shared" si="0"/>
        <v>9.7668038408779148E-2</v>
      </c>
      <c r="O58">
        <f t="shared" si="1"/>
        <v>88</v>
      </c>
    </row>
    <row r="59" spans="1:15">
      <c r="A59" t="s">
        <v>74</v>
      </c>
      <c r="B59" t="s">
        <v>24</v>
      </c>
      <c r="C59" s="5">
        <v>45785</v>
      </c>
      <c r="D59" t="s">
        <v>25</v>
      </c>
      <c r="E59" t="s">
        <v>50</v>
      </c>
      <c r="F59">
        <v>3316</v>
      </c>
      <c r="G59">
        <v>332</v>
      </c>
      <c r="H59">
        <v>268</v>
      </c>
      <c r="I59">
        <v>40095</v>
      </c>
      <c r="J59">
        <v>36913</v>
      </c>
      <c r="K59">
        <v>265</v>
      </c>
      <c r="L59" t="s">
        <v>41</v>
      </c>
      <c r="M59" t="s">
        <v>18</v>
      </c>
      <c r="N59" s="11">
        <f t="shared" si="0"/>
        <v>9.7668038408779148E-2</v>
      </c>
      <c r="O59">
        <f t="shared" si="1"/>
        <v>88</v>
      </c>
    </row>
    <row r="60" spans="1:15">
      <c r="A60" t="s">
        <v>75</v>
      </c>
      <c r="B60" t="s">
        <v>14</v>
      </c>
      <c r="C60" s="5">
        <v>45416</v>
      </c>
      <c r="D60" t="s">
        <v>15</v>
      </c>
      <c r="E60" t="s">
        <v>29</v>
      </c>
      <c r="F60">
        <v>2274</v>
      </c>
      <c r="G60">
        <v>243</v>
      </c>
      <c r="H60">
        <v>222</v>
      </c>
      <c r="I60">
        <v>43066</v>
      </c>
      <c r="J60">
        <v>59174</v>
      </c>
      <c r="K60">
        <v>80</v>
      </c>
      <c r="L60" t="s">
        <v>21</v>
      </c>
      <c r="M60" t="s">
        <v>22</v>
      </c>
      <c r="N60" s="11">
        <f t="shared" si="0"/>
        <v>6.3600055728416843E-2</v>
      </c>
      <c r="O60">
        <f t="shared" si="1"/>
        <v>481</v>
      </c>
    </row>
    <row r="61" spans="1:15">
      <c r="A61" t="s">
        <v>76</v>
      </c>
      <c r="B61" t="s">
        <v>24</v>
      </c>
      <c r="C61" s="5">
        <v>45804</v>
      </c>
      <c r="D61" t="s">
        <v>25</v>
      </c>
      <c r="E61" t="s">
        <v>20</v>
      </c>
      <c r="F61">
        <v>4095</v>
      </c>
      <c r="G61">
        <v>385</v>
      </c>
      <c r="H61">
        <v>400</v>
      </c>
      <c r="I61">
        <v>45300</v>
      </c>
      <c r="J61">
        <v>31795</v>
      </c>
      <c r="K61">
        <v>80</v>
      </c>
      <c r="L61" t="s">
        <v>365</v>
      </c>
      <c r="M61" t="s">
        <v>18</v>
      </c>
      <c r="N61" s="11">
        <f t="shared" si="0"/>
        <v>0.10772626931567329</v>
      </c>
      <c r="O61">
        <f t="shared" si="1"/>
        <v>481</v>
      </c>
    </row>
    <row r="62" spans="1:15">
      <c r="A62" t="s">
        <v>76</v>
      </c>
      <c r="B62" t="s">
        <v>24</v>
      </c>
      <c r="C62" s="5">
        <v>45804</v>
      </c>
      <c r="D62" t="s">
        <v>25</v>
      </c>
      <c r="E62" t="s">
        <v>20</v>
      </c>
      <c r="F62">
        <v>4095</v>
      </c>
      <c r="G62">
        <v>385</v>
      </c>
      <c r="H62">
        <v>400</v>
      </c>
      <c r="I62">
        <v>45300</v>
      </c>
      <c r="J62">
        <v>31795</v>
      </c>
      <c r="K62">
        <v>80</v>
      </c>
      <c r="L62" t="s">
        <v>41</v>
      </c>
      <c r="M62" t="s">
        <v>18</v>
      </c>
      <c r="N62" s="11">
        <f t="shared" si="0"/>
        <v>0.10772626931567329</v>
      </c>
      <c r="O62">
        <f t="shared" si="1"/>
        <v>481</v>
      </c>
    </row>
    <row r="63" spans="1:15">
      <c r="A63" t="s">
        <v>77</v>
      </c>
      <c r="B63" t="s">
        <v>14</v>
      </c>
      <c r="C63" s="5">
        <v>45545</v>
      </c>
      <c r="D63" t="s">
        <v>25</v>
      </c>
      <c r="E63" t="s">
        <v>26</v>
      </c>
      <c r="F63">
        <v>1230</v>
      </c>
      <c r="G63">
        <v>309</v>
      </c>
      <c r="H63">
        <v>207</v>
      </c>
      <c r="I63">
        <v>44629</v>
      </c>
      <c r="J63">
        <v>40699</v>
      </c>
      <c r="K63">
        <v>195</v>
      </c>
      <c r="L63" t="s">
        <v>41</v>
      </c>
      <c r="M63" t="s">
        <v>54</v>
      </c>
      <c r="N63" s="11">
        <f t="shared" si="0"/>
        <v>3.9122543637545096E-2</v>
      </c>
      <c r="O63">
        <f t="shared" si="1"/>
        <v>239</v>
      </c>
    </row>
    <row r="64" spans="1:15">
      <c r="A64" t="s">
        <v>78</v>
      </c>
      <c r="B64" t="s">
        <v>14</v>
      </c>
      <c r="C64" s="5">
        <v>45621</v>
      </c>
      <c r="D64" t="s">
        <v>15</v>
      </c>
      <c r="E64" t="s">
        <v>48</v>
      </c>
      <c r="F64">
        <v>1341</v>
      </c>
      <c r="G64">
        <v>472</v>
      </c>
      <c r="H64">
        <v>238</v>
      </c>
      <c r="I64">
        <v>51386</v>
      </c>
      <c r="J64">
        <v>51706</v>
      </c>
      <c r="K64">
        <v>133</v>
      </c>
      <c r="L64" t="s">
        <v>21</v>
      </c>
      <c r="M64" t="s">
        <v>22</v>
      </c>
      <c r="N64" s="11">
        <f t="shared" si="0"/>
        <v>3.9913595142645857E-2</v>
      </c>
      <c r="O64">
        <f t="shared" si="1"/>
        <v>365</v>
      </c>
    </row>
    <row r="65" spans="1:15">
      <c r="A65" t="s">
        <v>79</v>
      </c>
      <c r="B65" t="s">
        <v>24</v>
      </c>
      <c r="C65" s="5">
        <v>45818</v>
      </c>
      <c r="D65" t="s">
        <v>15</v>
      </c>
      <c r="E65" t="s">
        <v>20</v>
      </c>
      <c r="F65">
        <v>3615</v>
      </c>
      <c r="G65">
        <v>192</v>
      </c>
      <c r="H65">
        <v>162</v>
      </c>
      <c r="I65">
        <v>27492</v>
      </c>
      <c r="J65">
        <v>35341</v>
      </c>
      <c r="K65">
        <v>125</v>
      </c>
      <c r="L65" t="s">
        <v>41</v>
      </c>
      <c r="M65" t="s">
        <v>18</v>
      </c>
      <c r="N65" s="11">
        <f t="shared" si="0"/>
        <v>0.14436927106067218</v>
      </c>
      <c r="O65">
        <f t="shared" si="1"/>
        <v>385</v>
      </c>
    </row>
    <row r="66" spans="1:15">
      <c r="A66" t="s">
        <v>80</v>
      </c>
      <c r="B66" t="s">
        <v>14</v>
      </c>
      <c r="C66" s="5">
        <v>45401</v>
      </c>
      <c r="D66" t="s">
        <v>15</v>
      </c>
      <c r="E66" t="s">
        <v>26</v>
      </c>
      <c r="F66">
        <v>4001</v>
      </c>
      <c r="G66">
        <v>353</v>
      </c>
      <c r="H66">
        <v>129</v>
      </c>
      <c r="I66">
        <v>41265</v>
      </c>
      <c r="J66">
        <v>37279</v>
      </c>
      <c r="K66">
        <v>275</v>
      </c>
      <c r="L66" t="s">
        <v>44</v>
      </c>
      <c r="M66" t="s">
        <v>18</v>
      </c>
      <c r="N66" s="11">
        <f t="shared" ref="N66:N129" si="2">(F66+G66+H66)/I66</f>
        <v>0.10863928268508422</v>
      </c>
      <c r="O66">
        <f t="shared" ref="O66:O129" si="3">_xlfn.RANK.EQ(K66,K:K,0)</f>
        <v>57</v>
      </c>
    </row>
    <row r="67" spans="1:15">
      <c r="A67" t="s">
        <v>80</v>
      </c>
      <c r="B67" t="s">
        <v>14</v>
      </c>
      <c r="C67" s="5">
        <v>45401</v>
      </c>
      <c r="D67" t="s">
        <v>15</v>
      </c>
      <c r="E67" t="s">
        <v>26</v>
      </c>
      <c r="F67">
        <v>4001</v>
      </c>
      <c r="G67">
        <v>353</v>
      </c>
      <c r="H67">
        <v>129</v>
      </c>
      <c r="I67">
        <v>41265</v>
      </c>
      <c r="J67">
        <v>37279</v>
      </c>
      <c r="K67">
        <v>275</v>
      </c>
      <c r="L67" t="s">
        <v>41</v>
      </c>
      <c r="M67" t="s">
        <v>18</v>
      </c>
      <c r="N67" s="11">
        <f t="shared" si="2"/>
        <v>0.10863928268508422</v>
      </c>
      <c r="O67">
        <f t="shared" si="3"/>
        <v>57</v>
      </c>
    </row>
    <row r="68" spans="1:15">
      <c r="A68" t="s">
        <v>81</v>
      </c>
      <c r="B68" t="s">
        <v>14</v>
      </c>
      <c r="C68" s="5">
        <v>45683</v>
      </c>
      <c r="D68" t="s">
        <v>25</v>
      </c>
      <c r="E68" t="s">
        <v>34</v>
      </c>
      <c r="F68">
        <v>3451</v>
      </c>
      <c r="G68">
        <v>363</v>
      </c>
      <c r="H68">
        <v>393</v>
      </c>
      <c r="I68">
        <v>44853</v>
      </c>
      <c r="J68">
        <v>69032</v>
      </c>
      <c r="K68">
        <v>211</v>
      </c>
      <c r="L68" t="s">
        <v>41</v>
      </c>
      <c r="M68" t="s">
        <v>54</v>
      </c>
      <c r="N68" s="11">
        <f t="shared" si="2"/>
        <v>9.379528682585335E-2</v>
      </c>
      <c r="O68">
        <f t="shared" si="3"/>
        <v>204</v>
      </c>
    </row>
    <row r="69" spans="1:15">
      <c r="A69" t="s">
        <v>82</v>
      </c>
      <c r="B69" t="s">
        <v>14</v>
      </c>
      <c r="C69" s="5">
        <v>45702</v>
      </c>
      <c r="D69" t="s">
        <v>15</v>
      </c>
      <c r="E69" t="s">
        <v>40</v>
      </c>
      <c r="F69">
        <v>4891</v>
      </c>
      <c r="G69">
        <v>450</v>
      </c>
      <c r="H69">
        <v>387</v>
      </c>
      <c r="I69">
        <v>48746</v>
      </c>
      <c r="J69">
        <v>37312</v>
      </c>
      <c r="K69">
        <v>154</v>
      </c>
      <c r="L69" t="s">
        <v>44</v>
      </c>
      <c r="M69" t="s">
        <v>18</v>
      </c>
      <c r="N69" s="11">
        <f t="shared" si="2"/>
        <v>0.11750707750379519</v>
      </c>
      <c r="O69">
        <f t="shared" si="3"/>
        <v>338</v>
      </c>
    </row>
    <row r="70" spans="1:15">
      <c r="A70" t="s">
        <v>82</v>
      </c>
      <c r="B70" t="s">
        <v>14</v>
      </c>
      <c r="C70" s="5">
        <v>45702</v>
      </c>
      <c r="D70" t="s">
        <v>15</v>
      </c>
      <c r="E70" t="s">
        <v>40</v>
      </c>
      <c r="F70">
        <v>4891</v>
      </c>
      <c r="G70">
        <v>450</v>
      </c>
      <c r="H70">
        <v>387</v>
      </c>
      <c r="I70">
        <v>48746</v>
      </c>
      <c r="J70">
        <v>37312</v>
      </c>
      <c r="K70">
        <v>154</v>
      </c>
      <c r="L70" t="s">
        <v>41</v>
      </c>
      <c r="M70" t="s">
        <v>18</v>
      </c>
      <c r="N70" s="11">
        <f t="shared" si="2"/>
        <v>0.11750707750379519</v>
      </c>
      <c r="O70">
        <f t="shared" si="3"/>
        <v>338</v>
      </c>
    </row>
    <row r="71" spans="1:15">
      <c r="A71" t="s">
        <v>83</v>
      </c>
      <c r="B71" t="s">
        <v>14</v>
      </c>
      <c r="C71" s="5">
        <v>45541</v>
      </c>
      <c r="D71" t="s">
        <v>15</v>
      </c>
      <c r="E71" t="s">
        <v>26</v>
      </c>
      <c r="F71">
        <v>1452</v>
      </c>
      <c r="G71">
        <v>281</v>
      </c>
      <c r="H71">
        <v>326</v>
      </c>
      <c r="I71">
        <v>51556</v>
      </c>
      <c r="J71">
        <v>62599</v>
      </c>
      <c r="K71">
        <v>290</v>
      </c>
      <c r="L71" t="s">
        <v>21</v>
      </c>
      <c r="M71" t="s">
        <v>22</v>
      </c>
      <c r="N71" s="11">
        <f t="shared" si="2"/>
        <v>3.9937155714174881E-2</v>
      </c>
      <c r="O71">
        <f t="shared" si="3"/>
        <v>22</v>
      </c>
    </row>
    <row r="72" spans="1:15">
      <c r="A72" t="s">
        <v>84</v>
      </c>
      <c r="B72" t="s">
        <v>364</v>
      </c>
      <c r="C72" s="5">
        <v>45487</v>
      </c>
      <c r="D72" t="s">
        <v>15</v>
      </c>
      <c r="E72" t="s">
        <v>50</v>
      </c>
      <c r="F72">
        <v>3806</v>
      </c>
      <c r="G72">
        <v>114</v>
      </c>
      <c r="H72">
        <v>278</v>
      </c>
      <c r="I72">
        <v>36148</v>
      </c>
      <c r="J72">
        <v>24209</v>
      </c>
      <c r="K72">
        <v>201</v>
      </c>
      <c r="L72" t="s">
        <v>21</v>
      </c>
      <c r="M72" t="s">
        <v>22</v>
      </c>
      <c r="N72" s="11">
        <f t="shared" si="2"/>
        <v>0.11613367267898639</v>
      </c>
      <c r="O72">
        <f t="shared" si="3"/>
        <v>225</v>
      </c>
    </row>
    <row r="73" spans="1:15">
      <c r="A73" t="s">
        <v>84</v>
      </c>
      <c r="B73" t="s">
        <v>364</v>
      </c>
      <c r="C73" s="5">
        <v>45487</v>
      </c>
      <c r="D73" t="s">
        <v>15</v>
      </c>
      <c r="E73" t="s">
        <v>50</v>
      </c>
      <c r="F73">
        <v>3806</v>
      </c>
      <c r="G73">
        <v>114</v>
      </c>
      <c r="H73">
        <v>278</v>
      </c>
      <c r="I73">
        <v>36148</v>
      </c>
      <c r="J73">
        <v>24209</v>
      </c>
      <c r="K73">
        <v>201</v>
      </c>
      <c r="L73" t="s">
        <v>366</v>
      </c>
      <c r="M73" t="s">
        <v>22</v>
      </c>
      <c r="N73" s="11">
        <f t="shared" si="2"/>
        <v>0.11613367267898639</v>
      </c>
      <c r="O73">
        <f t="shared" si="3"/>
        <v>225</v>
      </c>
    </row>
    <row r="74" spans="1:15">
      <c r="A74" t="s">
        <v>85</v>
      </c>
      <c r="B74" t="s">
        <v>14</v>
      </c>
      <c r="C74" s="5">
        <v>45334</v>
      </c>
      <c r="D74" t="s">
        <v>15</v>
      </c>
      <c r="E74" t="s">
        <v>20</v>
      </c>
      <c r="F74">
        <v>2923</v>
      </c>
      <c r="G74">
        <v>330</v>
      </c>
      <c r="H74">
        <v>250</v>
      </c>
      <c r="I74">
        <v>23993</v>
      </c>
      <c r="J74">
        <v>74590</v>
      </c>
      <c r="K74">
        <v>92</v>
      </c>
      <c r="L74" t="s">
        <v>21</v>
      </c>
      <c r="M74" t="s">
        <v>22</v>
      </c>
      <c r="N74" s="11">
        <f t="shared" si="2"/>
        <v>0.14600091693410577</v>
      </c>
      <c r="O74">
        <f t="shared" si="3"/>
        <v>449</v>
      </c>
    </row>
    <row r="75" spans="1:15">
      <c r="A75" t="s">
        <v>86</v>
      </c>
      <c r="B75" t="s">
        <v>364</v>
      </c>
      <c r="C75" s="5">
        <v>45365</v>
      </c>
      <c r="D75" t="s">
        <v>56</v>
      </c>
      <c r="E75" t="s">
        <v>48</v>
      </c>
      <c r="F75">
        <v>3361</v>
      </c>
      <c r="G75">
        <v>188</v>
      </c>
      <c r="H75">
        <v>358</v>
      </c>
      <c r="I75">
        <v>39838</v>
      </c>
      <c r="J75">
        <v>24536</v>
      </c>
      <c r="K75">
        <v>120</v>
      </c>
      <c r="L75" t="s">
        <v>21</v>
      </c>
      <c r="M75" t="s">
        <v>58</v>
      </c>
      <c r="N75" s="11">
        <f t="shared" si="2"/>
        <v>9.8072192379135503E-2</v>
      </c>
      <c r="O75">
        <f t="shared" si="3"/>
        <v>391</v>
      </c>
    </row>
    <row r="76" spans="1:15">
      <c r="A76" t="s">
        <v>86</v>
      </c>
      <c r="B76" t="s">
        <v>364</v>
      </c>
      <c r="C76" s="5">
        <v>45365</v>
      </c>
      <c r="D76" t="s">
        <v>56</v>
      </c>
      <c r="E76" t="s">
        <v>48</v>
      </c>
      <c r="F76">
        <v>3361</v>
      </c>
      <c r="G76">
        <v>188</v>
      </c>
      <c r="H76">
        <v>358</v>
      </c>
      <c r="I76">
        <v>39838</v>
      </c>
      <c r="J76">
        <v>24536</v>
      </c>
      <c r="K76">
        <v>120</v>
      </c>
      <c r="L76" t="s">
        <v>44</v>
      </c>
      <c r="M76" t="s">
        <v>58</v>
      </c>
      <c r="N76" s="11">
        <f t="shared" si="2"/>
        <v>9.8072192379135503E-2</v>
      </c>
      <c r="O76">
        <f t="shared" si="3"/>
        <v>391</v>
      </c>
    </row>
    <row r="77" spans="1:15">
      <c r="A77" t="s">
        <v>87</v>
      </c>
      <c r="B77" t="s">
        <v>14</v>
      </c>
      <c r="C77" s="5">
        <v>45693</v>
      </c>
      <c r="D77" t="s">
        <v>25</v>
      </c>
      <c r="E77" t="s">
        <v>31</v>
      </c>
      <c r="F77">
        <v>3074</v>
      </c>
      <c r="G77">
        <v>371</v>
      </c>
      <c r="H77">
        <v>348</v>
      </c>
      <c r="I77">
        <v>24104</v>
      </c>
      <c r="J77">
        <v>57803</v>
      </c>
      <c r="K77">
        <v>213</v>
      </c>
      <c r="L77" t="s">
        <v>41</v>
      </c>
      <c r="M77" t="s">
        <v>54</v>
      </c>
      <c r="N77" s="11">
        <f t="shared" si="2"/>
        <v>0.15735977431131762</v>
      </c>
      <c r="O77">
        <f t="shared" si="3"/>
        <v>193</v>
      </c>
    </row>
    <row r="78" spans="1:15">
      <c r="A78" t="s">
        <v>88</v>
      </c>
      <c r="B78" t="s">
        <v>24</v>
      </c>
      <c r="C78" s="5">
        <v>45533</v>
      </c>
      <c r="D78" t="s">
        <v>25</v>
      </c>
      <c r="E78" t="s">
        <v>36</v>
      </c>
      <c r="F78">
        <v>4276</v>
      </c>
      <c r="G78">
        <v>227</v>
      </c>
      <c r="H78">
        <v>223</v>
      </c>
      <c r="I78">
        <v>43443</v>
      </c>
      <c r="J78">
        <v>41005</v>
      </c>
      <c r="K78">
        <v>191</v>
      </c>
      <c r="L78" t="s">
        <v>21</v>
      </c>
      <c r="M78" t="s">
        <v>18</v>
      </c>
      <c r="N78" s="11">
        <f t="shared" si="2"/>
        <v>0.1087862256289851</v>
      </c>
      <c r="O78">
        <f t="shared" si="3"/>
        <v>246</v>
      </c>
    </row>
    <row r="79" spans="1:15">
      <c r="A79" t="s">
        <v>88</v>
      </c>
      <c r="B79" t="s">
        <v>24</v>
      </c>
      <c r="C79" s="5">
        <v>45533</v>
      </c>
      <c r="D79" t="s">
        <v>25</v>
      </c>
      <c r="E79" t="s">
        <v>36</v>
      </c>
      <c r="F79">
        <v>4276</v>
      </c>
      <c r="G79">
        <v>227</v>
      </c>
      <c r="H79">
        <v>223</v>
      </c>
      <c r="I79">
        <v>43443</v>
      </c>
      <c r="J79">
        <v>41005</v>
      </c>
      <c r="K79">
        <v>191</v>
      </c>
      <c r="L79" t="s">
        <v>365</v>
      </c>
      <c r="M79" t="s">
        <v>18</v>
      </c>
      <c r="N79" s="11">
        <f t="shared" si="2"/>
        <v>0.1087862256289851</v>
      </c>
      <c r="O79">
        <f t="shared" si="3"/>
        <v>246</v>
      </c>
    </row>
    <row r="80" spans="1:15">
      <c r="A80" t="s">
        <v>89</v>
      </c>
      <c r="B80" t="s">
        <v>24</v>
      </c>
      <c r="C80" s="5">
        <v>45769</v>
      </c>
      <c r="D80" t="s">
        <v>15</v>
      </c>
      <c r="E80" t="s">
        <v>16</v>
      </c>
      <c r="F80">
        <v>4401</v>
      </c>
      <c r="G80">
        <v>421</v>
      </c>
      <c r="H80">
        <v>216</v>
      </c>
      <c r="I80">
        <v>24890</v>
      </c>
      <c r="J80">
        <v>54361</v>
      </c>
      <c r="K80">
        <v>148</v>
      </c>
      <c r="L80" t="s">
        <v>41</v>
      </c>
      <c r="M80" t="s">
        <v>18</v>
      </c>
      <c r="N80" s="11">
        <f t="shared" si="2"/>
        <v>0.20241060666934513</v>
      </c>
      <c r="O80">
        <f t="shared" si="3"/>
        <v>344</v>
      </c>
    </row>
    <row r="81" spans="1:15">
      <c r="A81" t="s">
        <v>90</v>
      </c>
      <c r="B81" t="s">
        <v>364</v>
      </c>
      <c r="C81" s="5">
        <v>45425</v>
      </c>
      <c r="D81" t="s">
        <v>56</v>
      </c>
      <c r="E81" t="s">
        <v>20</v>
      </c>
      <c r="F81">
        <v>4161</v>
      </c>
      <c r="G81">
        <v>481</v>
      </c>
      <c r="H81">
        <v>61</v>
      </c>
      <c r="I81">
        <v>45884</v>
      </c>
      <c r="J81">
        <v>48955</v>
      </c>
      <c r="K81">
        <v>215</v>
      </c>
      <c r="L81" t="s">
        <v>21</v>
      </c>
      <c r="M81" t="s">
        <v>58</v>
      </c>
      <c r="N81" s="11">
        <f t="shared" si="2"/>
        <v>0.10249760265016128</v>
      </c>
      <c r="O81">
        <f t="shared" si="3"/>
        <v>189</v>
      </c>
    </row>
    <row r="82" spans="1:15">
      <c r="A82" t="s">
        <v>90</v>
      </c>
      <c r="B82" t="s">
        <v>364</v>
      </c>
      <c r="C82" s="5">
        <v>45425</v>
      </c>
      <c r="D82" t="s">
        <v>56</v>
      </c>
      <c r="E82" t="s">
        <v>20</v>
      </c>
      <c r="F82">
        <v>4161</v>
      </c>
      <c r="G82">
        <v>481</v>
      </c>
      <c r="H82">
        <v>61</v>
      </c>
      <c r="I82">
        <v>45884</v>
      </c>
      <c r="J82">
        <v>48955</v>
      </c>
      <c r="K82">
        <v>215</v>
      </c>
      <c r="L82" t="s">
        <v>44</v>
      </c>
      <c r="M82" t="s">
        <v>58</v>
      </c>
      <c r="N82" s="11">
        <f t="shared" si="2"/>
        <v>0.10249760265016128</v>
      </c>
      <c r="O82">
        <f t="shared" si="3"/>
        <v>189</v>
      </c>
    </row>
    <row r="83" spans="1:15">
      <c r="A83" t="s">
        <v>91</v>
      </c>
      <c r="B83" t="s">
        <v>24</v>
      </c>
      <c r="C83" s="5">
        <v>45539</v>
      </c>
      <c r="D83" t="s">
        <v>25</v>
      </c>
      <c r="E83" t="s">
        <v>26</v>
      </c>
      <c r="F83">
        <v>2613</v>
      </c>
      <c r="G83">
        <v>455</v>
      </c>
      <c r="H83">
        <v>228</v>
      </c>
      <c r="I83">
        <v>21645</v>
      </c>
      <c r="J83">
        <v>61334</v>
      </c>
      <c r="K83">
        <v>261</v>
      </c>
      <c r="L83" t="s">
        <v>21</v>
      </c>
      <c r="M83" t="s">
        <v>18</v>
      </c>
      <c r="N83" s="11">
        <f t="shared" si="2"/>
        <v>0.15227535227535227</v>
      </c>
      <c r="O83">
        <f t="shared" si="3"/>
        <v>104</v>
      </c>
    </row>
    <row r="84" spans="1:15">
      <c r="A84" t="s">
        <v>91</v>
      </c>
      <c r="B84" t="s">
        <v>24</v>
      </c>
      <c r="C84" s="5">
        <v>45539</v>
      </c>
      <c r="D84" t="s">
        <v>25</v>
      </c>
      <c r="E84" t="s">
        <v>26</v>
      </c>
      <c r="F84">
        <v>2613</v>
      </c>
      <c r="G84">
        <v>455</v>
      </c>
      <c r="H84">
        <v>228</v>
      </c>
      <c r="I84">
        <v>21645</v>
      </c>
      <c r="J84">
        <v>61334</v>
      </c>
      <c r="K84">
        <v>261</v>
      </c>
      <c r="L84" t="s">
        <v>365</v>
      </c>
      <c r="M84" t="s">
        <v>18</v>
      </c>
      <c r="N84" s="11">
        <f t="shared" si="2"/>
        <v>0.15227535227535227</v>
      </c>
      <c r="O84">
        <f t="shared" si="3"/>
        <v>104</v>
      </c>
    </row>
    <row r="85" spans="1:15">
      <c r="A85" t="s">
        <v>92</v>
      </c>
      <c r="B85" t="s">
        <v>24</v>
      </c>
      <c r="C85" s="5">
        <v>45516</v>
      </c>
      <c r="D85" t="s">
        <v>25</v>
      </c>
      <c r="E85" t="s">
        <v>34</v>
      </c>
      <c r="F85">
        <v>2842</v>
      </c>
      <c r="G85">
        <v>213</v>
      </c>
      <c r="H85">
        <v>331</v>
      </c>
      <c r="I85">
        <v>57660</v>
      </c>
      <c r="J85">
        <v>68606</v>
      </c>
      <c r="K85">
        <v>87</v>
      </c>
      <c r="L85" t="s">
        <v>365</v>
      </c>
      <c r="M85" t="s">
        <v>18</v>
      </c>
      <c r="N85" s="11">
        <f t="shared" si="2"/>
        <v>5.8723551855705859E-2</v>
      </c>
      <c r="O85">
        <f t="shared" si="3"/>
        <v>463</v>
      </c>
    </row>
    <row r="86" spans="1:15">
      <c r="A86" t="s">
        <v>92</v>
      </c>
      <c r="B86" t="s">
        <v>24</v>
      </c>
      <c r="C86" s="5">
        <v>45516</v>
      </c>
      <c r="D86" t="s">
        <v>25</v>
      </c>
      <c r="E86" t="s">
        <v>34</v>
      </c>
      <c r="F86">
        <v>2842</v>
      </c>
      <c r="G86">
        <v>213</v>
      </c>
      <c r="H86">
        <v>331</v>
      </c>
      <c r="I86">
        <v>57660</v>
      </c>
      <c r="J86">
        <v>68606</v>
      </c>
      <c r="K86">
        <v>87</v>
      </c>
      <c r="L86" t="s">
        <v>41</v>
      </c>
      <c r="M86" t="s">
        <v>18</v>
      </c>
      <c r="N86" s="11">
        <f t="shared" si="2"/>
        <v>5.8723551855705859E-2</v>
      </c>
      <c r="O86">
        <f t="shared" si="3"/>
        <v>463</v>
      </c>
    </row>
    <row r="87" spans="1:15">
      <c r="A87" t="s">
        <v>93</v>
      </c>
      <c r="B87" t="s">
        <v>14</v>
      </c>
      <c r="C87" s="5">
        <v>45722</v>
      </c>
      <c r="D87" t="s">
        <v>15</v>
      </c>
      <c r="E87" t="s">
        <v>36</v>
      </c>
      <c r="F87">
        <v>4851</v>
      </c>
      <c r="G87">
        <v>460</v>
      </c>
      <c r="H87">
        <v>212</v>
      </c>
      <c r="I87">
        <v>58075</v>
      </c>
      <c r="J87">
        <v>59574</v>
      </c>
      <c r="K87">
        <v>239</v>
      </c>
      <c r="L87" t="s">
        <v>21</v>
      </c>
      <c r="M87" t="s">
        <v>22</v>
      </c>
      <c r="N87" s="11">
        <f t="shared" si="2"/>
        <v>9.5101162290142052E-2</v>
      </c>
      <c r="O87">
        <f t="shared" si="3"/>
        <v>133</v>
      </c>
    </row>
    <row r="88" spans="1:15">
      <c r="A88" t="s">
        <v>94</v>
      </c>
      <c r="B88" t="s">
        <v>24</v>
      </c>
      <c r="C88" s="5">
        <v>45420</v>
      </c>
      <c r="D88" t="s">
        <v>15</v>
      </c>
      <c r="E88" t="s">
        <v>20</v>
      </c>
      <c r="F88">
        <v>1828</v>
      </c>
      <c r="G88">
        <v>450</v>
      </c>
      <c r="H88">
        <v>214</v>
      </c>
      <c r="I88">
        <v>52115</v>
      </c>
      <c r="J88">
        <v>19166</v>
      </c>
      <c r="K88">
        <v>190</v>
      </c>
      <c r="L88" t="s">
        <v>41</v>
      </c>
      <c r="M88" t="s">
        <v>18</v>
      </c>
      <c r="N88" s="11">
        <f t="shared" si="2"/>
        <v>4.781732706514439E-2</v>
      </c>
      <c r="O88">
        <f t="shared" si="3"/>
        <v>249</v>
      </c>
    </row>
    <row r="89" spans="1:15">
      <c r="A89" t="s">
        <v>95</v>
      </c>
      <c r="B89" t="s">
        <v>14</v>
      </c>
      <c r="C89" s="5">
        <v>45707</v>
      </c>
      <c r="D89" t="s">
        <v>25</v>
      </c>
      <c r="E89" t="s">
        <v>48</v>
      </c>
      <c r="F89">
        <v>2422</v>
      </c>
      <c r="G89">
        <v>455</v>
      </c>
      <c r="H89">
        <v>376</v>
      </c>
      <c r="I89">
        <v>23428</v>
      </c>
      <c r="J89">
        <v>46775</v>
      </c>
      <c r="K89">
        <v>259</v>
      </c>
      <c r="L89" t="s">
        <v>41</v>
      </c>
      <c r="M89" t="s">
        <v>54</v>
      </c>
      <c r="N89" s="11">
        <f t="shared" si="2"/>
        <v>0.13885094758408742</v>
      </c>
      <c r="O89">
        <f t="shared" si="3"/>
        <v>106</v>
      </c>
    </row>
    <row r="90" spans="1:15">
      <c r="A90" t="s">
        <v>96</v>
      </c>
      <c r="B90" t="s">
        <v>14</v>
      </c>
      <c r="C90" s="5">
        <v>45299</v>
      </c>
      <c r="D90" t="s">
        <v>15</v>
      </c>
      <c r="E90" t="s">
        <v>40</v>
      </c>
      <c r="F90">
        <v>2683</v>
      </c>
      <c r="G90">
        <v>405</v>
      </c>
      <c r="H90">
        <v>223</v>
      </c>
      <c r="I90">
        <v>31233</v>
      </c>
      <c r="J90">
        <v>58106</v>
      </c>
      <c r="K90">
        <v>291</v>
      </c>
      <c r="L90" t="s">
        <v>21</v>
      </c>
      <c r="M90" t="s">
        <v>22</v>
      </c>
      <c r="N90" s="11">
        <f t="shared" si="2"/>
        <v>0.10600966926007749</v>
      </c>
      <c r="O90">
        <f t="shared" si="3"/>
        <v>19</v>
      </c>
    </row>
    <row r="91" spans="1:15">
      <c r="A91" t="s">
        <v>97</v>
      </c>
      <c r="B91" t="s">
        <v>364</v>
      </c>
      <c r="C91" s="5">
        <v>45490</v>
      </c>
      <c r="D91" t="s">
        <v>15</v>
      </c>
      <c r="E91" t="s">
        <v>40</v>
      </c>
      <c r="F91">
        <v>3135</v>
      </c>
      <c r="G91">
        <v>110</v>
      </c>
      <c r="H91">
        <v>215</v>
      </c>
      <c r="I91">
        <v>39192</v>
      </c>
      <c r="J91">
        <v>24744</v>
      </c>
      <c r="K91">
        <v>177</v>
      </c>
      <c r="L91" t="s">
        <v>21</v>
      </c>
      <c r="M91" t="s">
        <v>22</v>
      </c>
      <c r="N91" s="11">
        <f t="shared" si="2"/>
        <v>8.8283323127168814E-2</v>
      </c>
      <c r="O91">
        <f t="shared" si="3"/>
        <v>270</v>
      </c>
    </row>
    <row r="92" spans="1:15">
      <c r="A92" t="s">
        <v>97</v>
      </c>
      <c r="B92" t="s">
        <v>364</v>
      </c>
      <c r="C92" s="5">
        <v>45490</v>
      </c>
      <c r="D92" t="s">
        <v>15</v>
      </c>
      <c r="E92" t="s">
        <v>40</v>
      </c>
      <c r="F92">
        <v>3135</v>
      </c>
      <c r="G92">
        <v>110</v>
      </c>
      <c r="H92">
        <v>215</v>
      </c>
      <c r="I92">
        <v>39192</v>
      </c>
      <c r="J92">
        <v>24744</v>
      </c>
      <c r="K92">
        <v>177</v>
      </c>
      <c r="L92" t="s">
        <v>366</v>
      </c>
      <c r="M92" t="s">
        <v>22</v>
      </c>
      <c r="N92" s="11">
        <f t="shared" si="2"/>
        <v>8.8283323127168814E-2</v>
      </c>
      <c r="O92">
        <f t="shared" si="3"/>
        <v>270</v>
      </c>
    </row>
    <row r="93" spans="1:15">
      <c r="A93" t="s">
        <v>98</v>
      </c>
      <c r="B93" t="s">
        <v>364</v>
      </c>
      <c r="C93" s="5">
        <v>45514</v>
      </c>
      <c r="D93" t="s">
        <v>15</v>
      </c>
      <c r="E93" t="s">
        <v>48</v>
      </c>
      <c r="F93">
        <v>1105</v>
      </c>
      <c r="G93">
        <v>181</v>
      </c>
      <c r="H93">
        <v>55</v>
      </c>
      <c r="I93">
        <v>53581</v>
      </c>
      <c r="J93">
        <v>74048</v>
      </c>
      <c r="K93">
        <v>220</v>
      </c>
      <c r="L93" t="s">
        <v>21</v>
      </c>
      <c r="M93" t="s">
        <v>22</v>
      </c>
      <c r="N93" s="11">
        <f t="shared" si="2"/>
        <v>2.50275284149232E-2</v>
      </c>
      <c r="O93">
        <f t="shared" si="3"/>
        <v>178</v>
      </c>
    </row>
    <row r="94" spans="1:15">
      <c r="A94" t="s">
        <v>98</v>
      </c>
      <c r="B94" t="s">
        <v>364</v>
      </c>
      <c r="C94" s="5">
        <v>45514</v>
      </c>
      <c r="D94" t="s">
        <v>15</v>
      </c>
      <c r="E94" t="s">
        <v>48</v>
      </c>
      <c r="F94">
        <v>1105</v>
      </c>
      <c r="G94">
        <v>181</v>
      </c>
      <c r="H94">
        <v>55</v>
      </c>
      <c r="I94">
        <v>53581</v>
      </c>
      <c r="J94">
        <v>74048</v>
      </c>
      <c r="K94">
        <v>220</v>
      </c>
      <c r="L94" t="s">
        <v>366</v>
      </c>
      <c r="M94" t="s">
        <v>22</v>
      </c>
      <c r="N94" s="11">
        <f t="shared" si="2"/>
        <v>2.50275284149232E-2</v>
      </c>
      <c r="O94">
        <f t="shared" si="3"/>
        <v>178</v>
      </c>
    </row>
    <row r="95" spans="1:15">
      <c r="A95" t="s">
        <v>99</v>
      </c>
      <c r="B95" t="s">
        <v>364</v>
      </c>
      <c r="C95" s="5">
        <v>45398</v>
      </c>
      <c r="D95" t="s">
        <v>15</v>
      </c>
      <c r="E95" t="s">
        <v>16</v>
      </c>
      <c r="F95">
        <v>4674</v>
      </c>
      <c r="G95">
        <v>326</v>
      </c>
      <c r="H95">
        <v>62</v>
      </c>
      <c r="I95">
        <v>45503</v>
      </c>
      <c r="J95">
        <v>46814</v>
      </c>
      <c r="K95">
        <v>116</v>
      </c>
      <c r="L95" t="s">
        <v>21</v>
      </c>
      <c r="M95" t="s">
        <v>22</v>
      </c>
      <c r="N95" s="11">
        <f t="shared" si="2"/>
        <v>0.11124541239039185</v>
      </c>
      <c r="O95">
        <f t="shared" si="3"/>
        <v>402</v>
      </c>
    </row>
    <row r="96" spans="1:15">
      <c r="A96" t="s">
        <v>99</v>
      </c>
      <c r="B96" t="s">
        <v>364</v>
      </c>
      <c r="C96" s="5">
        <v>45398</v>
      </c>
      <c r="D96" t="s">
        <v>15</v>
      </c>
      <c r="E96" t="s">
        <v>16</v>
      </c>
      <c r="F96">
        <v>4674</v>
      </c>
      <c r="G96">
        <v>326</v>
      </c>
      <c r="H96">
        <v>62</v>
      </c>
      <c r="I96">
        <v>45503</v>
      </c>
      <c r="J96">
        <v>46814</v>
      </c>
      <c r="K96">
        <v>116</v>
      </c>
      <c r="L96" t="s">
        <v>366</v>
      </c>
      <c r="M96" t="s">
        <v>22</v>
      </c>
      <c r="N96" s="11">
        <f t="shared" si="2"/>
        <v>0.11124541239039185</v>
      </c>
      <c r="O96">
        <f t="shared" si="3"/>
        <v>402</v>
      </c>
    </row>
    <row r="97" spans="1:15">
      <c r="A97" t="s">
        <v>100</v>
      </c>
      <c r="B97" t="s">
        <v>364</v>
      </c>
      <c r="C97" s="5">
        <v>45292</v>
      </c>
      <c r="D97" t="s">
        <v>56</v>
      </c>
      <c r="E97" t="s">
        <v>20</v>
      </c>
      <c r="F97">
        <v>3437</v>
      </c>
      <c r="G97">
        <v>129</v>
      </c>
      <c r="H97">
        <v>359</v>
      </c>
      <c r="I97">
        <v>44558</v>
      </c>
      <c r="J97">
        <v>30854</v>
      </c>
      <c r="K97">
        <v>171</v>
      </c>
      <c r="L97" t="s">
        <v>21</v>
      </c>
      <c r="M97" t="s">
        <v>58</v>
      </c>
      <c r="N97" s="11">
        <f t="shared" si="2"/>
        <v>8.8087436599488311E-2</v>
      </c>
      <c r="O97">
        <f t="shared" si="3"/>
        <v>292</v>
      </c>
    </row>
    <row r="98" spans="1:15">
      <c r="A98" t="s">
        <v>100</v>
      </c>
      <c r="B98" t="s">
        <v>364</v>
      </c>
      <c r="C98" s="5">
        <v>45292</v>
      </c>
      <c r="D98" t="s">
        <v>56</v>
      </c>
      <c r="E98" t="s">
        <v>20</v>
      </c>
      <c r="F98">
        <v>3437</v>
      </c>
      <c r="G98">
        <v>129</v>
      </c>
      <c r="H98">
        <v>359</v>
      </c>
      <c r="I98">
        <v>44558</v>
      </c>
      <c r="J98">
        <v>30854</v>
      </c>
      <c r="K98">
        <v>171</v>
      </c>
      <c r="L98" t="s">
        <v>44</v>
      </c>
      <c r="M98" t="s">
        <v>58</v>
      </c>
      <c r="N98" s="11">
        <f t="shared" si="2"/>
        <v>8.8087436599488311E-2</v>
      </c>
      <c r="O98">
        <f t="shared" si="3"/>
        <v>292</v>
      </c>
    </row>
    <row r="99" spans="1:15">
      <c r="A99" t="s">
        <v>101</v>
      </c>
      <c r="B99" t="s">
        <v>24</v>
      </c>
      <c r="C99" s="5">
        <v>45599</v>
      </c>
      <c r="D99" t="s">
        <v>25</v>
      </c>
      <c r="E99" t="s">
        <v>29</v>
      </c>
      <c r="F99">
        <v>1959</v>
      </c>
      <c r="G99">
        <v>316</v>
      </c>
      <c r="H99">
        <v>82</v>
      </c>
      <c r="I99">
        <v>54036</v>
      </c>
      <c r="J99">
        <v>69015</v>
      </c>
      <c r="K99">
        <v>182</v>
      </c>
      <c r="L99" t="s">
        <v>365</v>
      </c>
      <c r="M99" t="s">
        <v>18</v>
      </c>
      <c r="N99" s="11">
        <f t="shared" si="2"/>
        <v>4.3619068768968837E-2</v>
      </c>
      <c r="O99">
        <f t="shared" si="3"/>
        <v>259</v>
      </c>
    </row>
    <row r="100" spans="1:15">
      <c r="A100" t="s">
        <v>101</v>
      </c>
      <c r="B100" t="s">
        <v>24</v>
      </c>
      <c r="C100" s="5">
        <v>45599</v>
      </c>
      <c r="D100" t="s">
        <v>25</v>
      </c>
      <c r="E100" t="s">
        <v>29</v>
      </c>
      <c r="F100">
        <v>1959</v>
      </c>
      <c r="G100">
        <v>316</v>
      </c>
      <c r="H100">
        <v>82</v>
      </c>
      <c r="I100">
        <v>54036</v>
      </c>
      <c r="J100">
        <v>69015</v>
      </c>
      <c r="K100">
        <v>182</v>
      </c>
      <c r="L100" t="s">
        <v>41</v>
      </c>
      <c r="M100" t="s">
        <v>18</v>
      </c>
      <c r="N100" s="11">
        <f t="shared" si="2"/>
        <v>4.3619068768968837E-2</v>
      </c>
      <c r="O100">
        <f t="shared" si="3"/>
        <v>259</v>
      </c>
    </row>
    <row r="101" spans="1:15">
      <c r="A101" t="s">
        <v>102</v>
      </c>
      <c r="B101" t="s">
        <v>24</v>
      </c>
      <c r="C101" s="5">
        <v>45480</v>
      </c>
      <c r="D101" t="s">
        <v>15</v>
      </c>
      <c r="E101" t="s">
        <v>26</v>
      </c>
      <c r="F101">
        <v>1035</v>
      </c>
      <c r="G101">
        <v>137</v>
      </c>
      <c r="H101">
        <v>184</v>
      </c>
      <c r="I101">
        <v>37302</v>
      </c>
      <c r="J101">
        <v>68953</v>
      </c>
      <c r="K101">
        <v>237</v>
      </c>
      <c r="L101" t="s">
        <v>44</v>
      </c>
      <c r="M101" t="s">
        <v>22</v>
      </c>
      <c r="N101" s="11">
        <f t="shared" si="2"/>
        <v>3.6351938233874857E-2</v>
      </c>
      <c r="O101">
        <f t="shared" si="3"/>
        <v>137</v>
      </c>
    </row>
    <row r="102" spans="1:15">
      <c r="A102" t="s">
        <v>103</v>
      </c>
      <c r="B102" t="s">
        <v>24</v>
      </c>
      <c r="C102" s="5">
        <v>45679</v>
      </c>
      <c r="D102" t="s">
        <v>25</v>
      </c>
      <c r="E102" t="s">
        <v>26</v>
      </c>
      <c r="F102">
        <v>4478</v>
      </c>
      <c r="G102">
        <v>101</v>
      </c>
      <c r="H102">
        <v>121</v>
      </c>
      <c r="I102">
        <v>51035</v>
      </c>
      <c r="J102">
        <v>58207</v>
      </c>
      <c r="K102">
        <v>205</v>
      </c>
      <c r="L102" t="s">
        <v>365</v>
      </c>
      <c r="M102" t="s">
        <v>18</v>
      </c>
      <c r="N102" s="11">
        <f t="shared" si="2"/>
        <v>9.2093661212893113E-2</v>
      </c>
      <c r="O102">
        <f t="shared" si="3"/>
        <v>214</v>
      </c>
    </row>
    <row r="103" spans="1:15">
      <c r="A103" t="s">
        <v>103</v>
      </c>
      <c r="B103" t="s">
        <v>24</v>
      </c>
      <c r="C103" s="5">
        <v>45679</v>
      </c>
      <c r="D103" t="s">
        <v>25</v>
      </c>
      <c r="E103" t="s">
        <v>26</v>
      </c>
      <c r="F103">
        <v>4478</v>
      </c>
      <c r="G103">
        <v>101</v>
      </c>
      <c r="H103">
        <v>121</v>
      </c>
      <c r="I103">
        <v>51035</v>
      </c>
      <c r="J103">
        <v>58207</v>
      </c>
      <c r="K103">
        <v>205</v>
      </c>
      <c r="L103" t="s">
        <v>41</v>
      </c>
      <c r="M103" t="s">
        <v>18</v>
      </c>
      <c r="N103" s="11">
        <f t="shared" si="2"/>
        <v>9.2093661212893113E-2</v>
      </c>
      <c r="O103">
        <f t="shared" si="3"/>
        <v>214</v>
      </c>
    </row>
    <row r="104" spans="1:15">
      <c r="A104" t="s">
        <v>104</v>
      </c>
      <c r="B104" t="s">
        <v>364</v>
      </c>
      <c r="C104" s="5">
        <v>45438</v>
      </c>
      <c r="D104" t="s">
        <v>15</v>
      </c>
      <c r="E104" t="s">
        <v>48</v>
      </c>
      <c r="F104">
        <v>1488</v>
      </c>
      <c r="G104">
        <v>327</v>
      </c>
      <c r="H104">
        <v>110</v>
      </c>
      <c r="I104">
        <v>53805</v>
      </c>
      <c r="J104">
        <v>30239</v>
      </c>
      <c r="K104">
        <v>109</v>
      </c>
      <c r="L104" t="s">
        <v>21</v>
      </c>
      <c r="M104" t="s">
        <v>22</v>
      </c>
      <c r="N104" s="11">
        <f t="shared" si="2"/>
        <v>3.5777344113000653E-2</v>
      </c>
      <c r="O104">
        <f t="shared" si="3"/>
        <v>421</v>
      </c>
    </row>
    <row r="105" spans="1:15">
      <c r="A105" t="s">
        <v>104</v>
      </c>
      <c r="B105" t="s">
        <v>364</v>
      </c>
      <c r="C105" s="5">
        <v>45438</v>
      </c>
      <c r="D105" t="s">
        <v>15</v>
      </c>
      <c r="E105" t="s">
        <v>48</v>
      </c>
      <c r="F105">
        <v>1488</v>
      </c>
      <c r="G105">
        <v>327</v>
      </c>
      <c r="H105">
        <v>110</v>
      </c>
      <c r="I105">
        <v>53805</v>
      </c>
      <c r="J105">
        <v>30239</v>
      </c>
      <c r="K105">
        <v>109</v>
      </c>
      <c r="L105" t="s">
        <v>366</v>
      </c>
      <c r="M105" t="s">
        <v>22</v>
      </c>
      <c r="N105" s="11">
        <f t="shared" si="2"/>
        <v>3.5777344113000653E-2</v>
      </c>
      <c r="O105">
        <f t="shared" si="3"/>
        <v>421</v>
      </c>
    </row>
    <row r="106" spans="1:15">
      <c r="A106" t="s">
        <v>105</v>
      </c>
      <c r="B106" t="s">
        <v>14</v>
      </c>
      <c r="C106" s="5">
        <v>45763</v>
      </c>
      <c r="D106" t="s">
        <v>15</v>
      </c>
      <c r="E106" t="s">
        <v>29</v>
      </c>
      <c r="F106">
        <v>4836</v>
      </c>
      <c r="G106">
        <v>331</v>
      </c>
      <c r="H106">
        <v>140</v>
      </c>
      <c r="I106">
        <v>58792</v>
      </c>
      <c r="J106">
        <v>47711</v>
      </c>
      <c r="K106">
        <v>227</v>
      </c>
      <c r="L106" t="s">
        <v>44</v>
      </c>
      <c r="M106" t="s">
        <v>18</v>
      </c>
      <c r="N106" s="11">
        <f t="shared" si="2"/>
        <v>9.0267383317458164E-2</v>
      </c>
      <c r="O106">
        <f t="shared" si="3"/>
        <v>163</v>
      </c>
    </row>
    <row r="107" spans="1:15">
      <c r="A107" t="s">
        <v>105</v>
      </c>
      <c r="B107" t="s">
        <v>14</v>
      </c>
      <c r="C107" s="5">
        <v>45763</v>
      </c>
      <c r="D107" t="s">
        <v>15</v>
      </c>
      <c r="E107" t="s">
        <v>29</v>
      </c>
      <c r="F107">
        <v>4836</v>
      </c>
      <c r="G107">
        <v>331</v>
      </c>
      <c r="H107">
        <v>140</v>
      </c>
      <c r="I107">
        <v>58792</v>
      </c>
      <c r="J107">
        <v>47711</v>
      </c>
      <c r="K107">
        <v>227</v>
      </c>
      <c r="L107" t="s">
        <v>41</v>
      </c>
      <c r="M107" t="s">
        <v>18</v>
      </c>
      <c r="N107" s="11">
        <f t="shared" si="2"/>
        <v>9.0267383317458164E-2</v>
      </c>
      <c r="O107">
        <f t="shared" si="3"/>
        <v>163</v>
      </c>
    </row>
    <row r="108" spans="1:15">
      <c r="A108" t="s">
        <v>106</v>
      </c>
      <c r="B108" t="s">
        <v>364</v>
      </c>
      <c r="C108" s="5">
        <v>45384</v>
      </c>
      <c r="D108" t="s">
        <v>56</v>
      </c>
      <c r="E108" t="s">
        <v>50</v>
      </c>
      <c r="F108">
        <v>4563</v>
      </c>
      <c r="G108">
        <v>488</v>
      </c>
      <c r="H108">
        <v>356</v>
      </c>
      <c r="I108">
        <v>30619</v>
      </c>
      <c r="J108">
        <v>23328</v>
      </c>
      <c r="K108">
        <v>267</v>
      </c>
      <c r="L108" t="s">
        <v>21</v>
      </c>
      <c r="M108" t="s">
        <v>58</v>
      </c>
      <c r="N108" s="11">
        <f t="shared" si="2"/>
        <v>0.17658969920637513</v>
      </c>
      <c r="O108">
        <f t="shared" si="3"/>
        <v>86</v>
      </c>
    </row>
    <row r="109" spans="1:15">
      <c r="A109" t="s">
        <v>106</v>
      </c>
      <c r="B109" t="s">
        <v>364</v>
      </c>
      <c r="C109" s="5">
        <v>45384</v>
      </c>
      <c r="D109" t="s">
        <v>56</v>
      </c>
      <c r="E109" t="s">
        <v>50</v>
      </c>
      <c r="F109">
        <v>4563</v>
      </c>
      <c r="G109">
        <v>488</v>
      </c>
      <c r="H109">
        <v>356</v>
      </c>
      <c r="I109">
        <v>30619</v>
      </c>
      <c r="J109">
        <v>23328</v>
      </c>
      <c r="K109">
        <v>267</v>
      </c>
      <c r="L109" t="s">
        <v>44</v>
      </c>
      <c r="M109" t="s">
        <v>58</v>
      </c>
      <c r="N109" s="11">
        <f t="shared" si="2"/>
        <v>0.17658969920637513</v>
      </c>
      <c r="O109">
        <f t="shared" si="3"/>
        <v>86</v>
      </c>
    </row>
    <row r="110" spans="1:15">
      <c r="A110" t="s">
        <v>107</v>
      </c>
      <c r="B110" t="s">
        <v>24</v>
      </c>
      <c r="C110" s="5">
        <v>45379</v>
      </c>
      <c r="D110" t="s">
        <v>15</v>
      </c>
      <c r="E110" t="s">
        <v>31</v>
      </c>
      <c r="F110">
        <v>3276</v>
      </c>
      <c r="G110">
        <v>421</v>
      </c>
      <c r="H110">
        <v>114</v>
      </c>
      <c r="I110">
        <v>20580</v>
      </c>
      <c r="J110">
        <v>30324</v>
      </c>
      <c r="K110">
        <v>221</v>
      </c>
      <c r="L110" t="s">
        <v>44</v>
      </c>
      <c r="M110" t="s">
        <v>22</v>
      </c>
      <c r="N110" s="11">
        <f t="shared" si="2"/>
        <v>0.18517978620019437</v>
      </c>
      <c r="O110">
        <f t="shared" si="3"/>
        <v>175</v>
      </c>
    </row>
    <row r="111" spans="1:15">
      <c r="A111" t="s">
        <v>108</v>
      </c>
      <c r="B111" t="s">
        <v>24</v>
      </c>
      <c r="C111" s="5">
        <v>45643</v>
      </c>
      <c r="D111" t="s">
        <v>25</v>
      </c>
      <c r="E111" t="s">
        <v>31</v>
      </c>
      <c r="F111">
        <v>1316</v>
      </c>
      <c r="G111">
        <v>472</v>
      </c>
      <c r="H111">
        <v>286</v>
      </c>
      <c r="I111">
        <v>44692</v>
      </c>
      <c r="J111">
        <v>53343</v>
      </c>
      <c r="K111">
        <v>227</v>
      </c>
      <c r="L111" t="s">
        <v>21</v>
      </c>
      <c r="M111" t="s">
        <v>18</v>
      </c>
      <c r="N111" s="11">
        <f t="shared" si="2"/>
        <v>4.6406515707509172E-2</v>
      </c>
      <c r="O111">
        <f t="shared" si="3"/>
        <v>163</v>
      </c>
    </row>
    <row r="112" spans="1:15">
      <c r="A112" t="s">
        <v>108</v>
      </c>
      <c r="B112" t="s">
        <v>24</v>
      </c>
      <c r="C112" s="5">
        <v>45643</v>
      </c>
      <c r="D112" t="s">
        <v>25</v>
      </c>
      <c r="E112" t="s">
        <v>31</v>
      </c>
      <c r="F112">
        <v>1316</v>
      </c>
      <c r="G112">
        <v>472</v>
      </c>
      <c r="H112">
        <v>286</v>
      </c>
      <c r="I112">
        <v>44692</v>
      </c>
      <c r="J112">
        <v>53343</v>
      </c>
      <c r="K112">
        <v>227</v>
      </c>
      <c r="L112" t="s">
        <v>365</v>
      </c>
      <c r="M112" t="s">
        <v>18</v>
      </c>
      <c r="N112" s="11">
        <f t="shared" si="2"/>
        <v>4.6406515707509172E-2</v>
      </c>
      <c r="O112">
        <f t="shared" si="3"/>
        <v>163</v>
      </c>
    </row>
    <row r="113" spans="1:15">
      <c r="A113" t="s">
        <v>109</v>
      </c>
      <c r="B113" t="s">
        <v>24</v>
      </c>
      <c r="C113" s="5">
        <v>45662</v>
      </c>
      <c r="D113" t="s">
        <v>15</v>
      </c>
      <c r="E113" t="s">
        <v>29</v>
      </c>
      <c r="F113">
        <v>4811</v>
      </c>
      <c r="G113">
        <v>473</v>
      </c>
      <c r="H113">
        <v>254</v>
      </c>
      <c r="I113">
        <v>51964</v>
      </c>
      <c r="J113">
        <v>68795</v>
      </c>
      <c r="K113">
        <v>107</v>
      </c>
      <c r="L113" t="s">
        <v>41</v>
      </c>
      <c r="M113" t="s">
        <v>18</v>
      </c>
      <c r="N113" s="11">
        <f t="shared" si="2"/>
        <v>0.10657378184897237</v>
      </c>
      <c r="O113">
        <f t="shared" si="3"/>
        <v>425</v>
      </c>
    </row>
    <row r="114" spans="1:15">
      <c r="A114" t="s">
        <v>110</v>
      </c>
      <c r="B114" t="s">
        <v>24</v>
      </c>
      <c r="C114" s="5">
        <v>45302</v>
      </c>
      <c r="D114" t="s">
        <v>15</v>
      </c>
      <c r="E114" t="s">
        <v>34</v>
      </c>
      <c r="F114">
        <v>4218</v>
      </c>
      <c r="G114">
        <v>247</v>
      </c>
      <c r="H114">
        <v>183</v>
      </c>
      <c r="I114">
        <v>28914</v>
      </c>
      <c r="J114">
        <v>18310</v>
      </c>
      <c r="K114">
        <v>135</v>
      </c>
      <c r="L114" t="s">
        <v>44</v>
      </c>
      <c r="M114" t="s">
        <v>22</v>
      </c>
      <c r="N114" s="11">
        <f t="shared" si="2"/>
        <v>0.1607525766064882</v>
      </c>
      <c r="O114">
        <f t="shared" si="3"/>
        <v>363</v>
      </c>
    </row>
    <row r="115" spans="1:15">
      <c r="A115" t="s">
        <v>111</v>
      </c>
      <c r="B115" t="s">
        <v>14</v>
      </c>
      <c r="C115" s="5">
        <v>45576</v>
      </c>
      <c r="D115" t="s">
        <v>15</v>
      </c>
      <c r="E115" t="s">
        <v>48</v>
      </c>
      <c r="F115">
        <v>1360</v>
      </c>
      <c r="G115">
        <v>249</v>
      </c>
      <c r="H115">
        <v>52</v>
      </c>
      <c r="I115">
        <v>20368</v>
      </c>
      <c r="J115">
        <v>42152</v>
      </c>
      <c r="K115">
        <v>193</v>
      </c>
      <c r="L115" t="s">
        <v>21</v>
      </c>
      <c r="M115" t="s">
        <v>22</v>
      </c>
      <c r="N115" s="11">
        <f t="shared" si="2"/>
        <v>8.1549489395129612E-2</v>
      </c>
      <c r="O115">
        <f t="shared" si="3"/>
        <v>245</v>
      </c>
    </row>
    <row r="116" spans="1:15">
      <c r="A116" t="s">
        <v>112</v>
      </c>
      <c r="B116" t="s">
        <v>364</v>
      </c>
      <c r="C116" s="5">
        <v>45783</v>
      </c>
      <c r="D116" t="s">
        <v>56</v>
      </c>
      <c r="E116" t="s">
        <v>16</v>
      </c>
      <c r="F116">
        <v>1085</v>
      </c>
      <c r="G116">
        <v>496</v>
      </c>
      <c r="H116">
        <v>320</v>
      </c>
      <c r="I116">
        <v>36528</v>
      </c>
      <c r="J116">
        <v>38599</v>
      </c>
      <c r="K116">
        <v>270</v>
      </c>
      <c r="L116" t="s">
        <v>21</v>
      </c>
      <c r="M116" t="s">
        <v>58</v>
      </c>
      <c r="N116" s="11">
        <f t="shared" si="2"/>
        <v>5.2042268944371438E-2</v>
      </c>
      <c r="O116">
        <f t="shared" si="3"/>
        <v>73</v>
      </c>
    </row>
    <row r="117" spans="1:15">
      <c r="A117" t="s">
        <v>112</v>
      </c>
      <c r="B117" t="s">
        <v>364</v>
      </c>
      <c r="C117" s="5">
        <v>45783</v>
      </c>
      <c r="D117" t="s">
        <v>56</v>
      </c>
      <c r="E117" t="s">
        <v>16</v>
      </c>
      <c r="F117">
        <v>1085</v>
      </c>
      <c r="G117">
        <v>496</v>
      </c>
      <c r="H117">
        <v>320</v>
      </c>
      <c r="I117">
        <v>36528</v>
      </c>
      <c r="J117">
        <v>38599</v>
      </c>
      <c r="K117">
        <v>270</v>
      </c>
      <c r="L117" t="s">
        <v>44</v>
      </c>
      <c r="M117" t="s">
        <v>58</v>
      </c>
      <c r="N117" s="11">
        <f t="shared" si="2"/>
        <v>5.2042268944371438E-2</v>
      </c>
      <c r="O117">
        <f t="shared" si="3"/>
        <v>73</v>
      </c>
    </row>
    <row r="118" spans="1:15">
      <c r="A118" t="s">
        <v>113</v>
      </c>
      <c r="B118" t="s">
        <v>24</v>
      </c>
      <c r="C118" s="5">
        <v>45431</v>
      </c>
      <c r="D118" t="s">
        <v>25</v>
      </c>
      <c r="E118" t="s">
        <v>36</v>
      </c>
      <c r="F118">
        <v>1763</v>
      </c>
      <c r="G118">
        <v>206</v>
      </c>
      <c r="H118">
        <v>187</v>
      </c>
      <c r="I118">
        <v>53342</v>
      </c>
      <c r="J118">
        <v>25095</v>
      </c>
      <c r="K118">
        <v>88</v>
      </c>
      <c r="L118" t="s">
        <v>21</v>
      </c>
      <c r="M118" t="s">
        <v>18</v>
      </c>
      <c r="N118" s="11">
        <f t="shared" si="2"/>
        <v>4.0418432004799221E-2</v>
      </c>
      <c r="O118">
        <f t="shared" si="3"/>
        <v>457</v>
      </c>
    </row>
    <row r="119" spans="1:15">
      <c r="A119" t="s">
        <v>113</v>
      </c>
      <c r="B119" t="s">
        <v>24</v>
      </c>
      <c r="C119" s="5">
        <v>45431</v>
      </c>
      <c r="D119" t="s">
        <v>25</v>
      </c>
      <c r="E119" t="s">
        <v>36</v>
      </c>
      <c r="F119">
        <v>1763</v>
      </c>
      <c r="G119">
        <v>206</v>
      </c>
      <c r="H119">
        <v>187</v>
      </c>
      <c r="I119">
        <v>53342</v>
      </c>
      <c r="J119">
        <v>25095</v>
      </c>
      <c r="K119">
        <v>88</v>
      </c>
      <c r="L119" t="s">
        <v>365</v>
      </c>
      <c r="M119" t="s">
        <v>18</v>
      </c>
      <c r="N119" s="11">
        <f t="shared" si="2"/>
        <v>4.0418432004799221E-2</v>
      </c>
      <c r="O119">
        <f t="shared" si="3"/>
        <v>457</v>
      </c>
    </row>
    <row r="120" spans="1:15">
      <c r="A120" t="s">
        <v>114</v>
      </c>
      <c r="B120" t="s">
        <v>24</v>
      </c>
      <c r="C120" s="5">
        <v>45313</v>
      </c>
      <c r="D120" t="s">
        <v>25</v>
      </c>
      <c r="E120" t="s">
        <v>48</v>
      </c>
      <c r="F120">
        <v>1554</v>
      </c>
      <c r="G120">
        <v>455</v>
      </c>
      <c r="H120">
        <v>158</v>
      </c>
      <c r="I120">
        <v>41947</v>
      </c>
      <c r="J120">
        <v>48578</v>
      </c>
      <c r="K120">
        <v>101</v>
      </c>
      <c r="L120" t="s">
        <v>44</v>
      </c>
      <c r="M120" t="s">
        <v>18</v>
      </c>
      <c r="N120" s="11">
        <f t="shared" si="2"/>
        <v>5.1660428636136076E-2</v>
      </c>
      <c r="O120">
        <f t="shared" si="3"/>
        <v>436</v>
      </c>
    </row>
    <row r="121" spans="1:15">
      <c r="A121" t="s">
        <v>114</v>
      </c>
      <c r="B121" t="s">
        <v>24</v>
      </c>
      <c r="C121" s="5">
        <v>45313</v>
      </c>
      <c r="D121" t="s">
        <v>25</v>
      </c>
      <c r="E121" t="s">
        <v>48</v>
      </c>
      <c r="F121">
        <v>1554</v>
      </c>
      <c r="G121">
        <v>455</v>
      </c>
      <c r="H121">
        <v>158</v>
      </c>
      <c r="I121">
        <v>41947</v>
      </c>
      <c r="J121">
        <v>48578</v>
      </c>
      <c r="K121">
        <v>101</v>
      </c>
      <c r="L121" t="s">
        <v>41</v>
      </c>
      <c r="M121" t="s">
        <v>18</v>
      </c>
      <c r="N121" s="11">
        <f t="shared" si="2"/>
        <v>5.1660428636136076E-2</v>
      </c>
      <c r="O121">
        <f t="shared" si="3"/>
        <v>436</v>
      </c>
    </row>
    <row r="122" spans="1:15">
      <c r="A122" t="s">
        <v>115</v>
      </c>
      <c r="B122" t="s">
        <v>14</v>
      </c>
      <c r="C122" s="5">
        <v>45487</v>
      </c>
      <c r="D122" t="s">
        <v>15</v>
      </c>
      <c r="E122" t="s">
        <v>29</v>
      </c>
      <c r="F122">
        <v>2464</v>
      </c>
      <c r="G122">
        <v>401</v>
      </c>
      <c r="H122">
        <v>78</v>
      </c>
      <c r="I122">
        <v>38665</v>
      </c>
      <c r="J122">
        <v>73593</v>
      </c>
      <c r="K122">
        <v>207</v>
      </c>
      <c r="L122" t="s">
        <v>21</v>
      </c>
      <c r="M122" t="s">
        <v>22</v>
      </c>
      <c r="N122" s="11">
        <f t="shared" si="2"/>
        <v>7.611534979956032E-2</v>
      </c>
      <c r="O122">
        <f t="shared" si="3"/>
        <v>211</v>
      </c>
    </row>
    <row r="123" spans="1:15">
      <c r="A123" t="s">
        <v>116</v>
      </c>
      <c r="B123" t="s">
        <v>24</v>
      </c>
      <c r="C123" s="5">
        <v>45805</v>
      </c>
      <c r="D123" t="s">
        <v>15</v>
      </c>
      <c r="E123" t="s">
        <v>48</v>
      </c>
      <c r="F123">
        <v>2418</v>
      </c>
      <c r="G123">
        <v>161</v>
      </c>
      <c r="H123">
        <v>360</v>
      </c>
      <c r="I123">
        <v>30589</v>
      </c>
      <c r="J123">
        <v>41383</v>
      </c>
      <c r="K123">
        <v>88</v>
      </c>
      <c r="L123" t="s">
        <v>41</v>
      </c>
      <c r="M123" t="s">
        <v>18</v>
      </c>
      <c r="N123" s="11">
        <f t="shared" si="2"/>
        <v>9.6080290300434801E-2</v>
      </c>
      <c r="O123">
        <f t="shared" si="3"/>
        <v>457</v>
      </c>
    </row>
    <row r="124" spans="1:15">
      <c r="A124" t="s">
        <v>117</v>
      </c>
      <c r="B124" t="s">
        <v>24</v>
      </c>
      <c r="C124" s="5">
        <v>45678</v>
      </c>
      <c r="D124" t="s">
        <v>25</v>
      </c>
      <c r="E124" t="s">
        <v>16</v>
      </c>
      <c r="F124">
        <v>2494</v>
      </c>
      <c r="G124">
        <v>494</v>
      </c>
      <c r="H124">
        <v>55</v>
      </c>
      <c r="I124">
        <v>22580</v>
      </c>
      <c r="J124">
        <v>22214</v>
      </c>
      <c r="K124">
        <v>109</v>
      </c>
      <c r="L124" t="s">
        <v>365</v>
      </c>
      <c r="M124" t="s">
        <v>18</v>
      </c>
      <c r="N124" s="11">
        <f t="shared" si="2"/>
        <v>0.13476527900797167</v>
      </c>
      <c r="O124">
        <f t="shared" si="3"/>
        <v>421</v>
      </c>
    </row>
    <row r="125" spans="1:15">
      <c r="A125" t="s">
        <v>117</v>
      </c>
      <c r="B125" t="s">
        <v>24</v>
      </c>
      <c r="C125" s="5">
        <v>45678</v>
      </c>
      <c r="D125" t="s">
        <v>25</v>
      </c>
      <c r="E125" t="s">
        <v>16</v>
      </c>
      <c r="F125">
        <v>2494</v>
      </c>
      <c r="G125">
        <v>494</v>
      </c>
      <c r="H125">
        <v>55</v>
      </c>
      <c r="I125">
        <v>22580</v>
      </c>
      <c r="J125">
        <v>22214</v>
      </c>
      <c r="K125">
        <v>109</v>
      </c>
      <c r="L125" t="s">
        <v>41</v>
      </c>
      <c r="M125" t="s">
        <v>18</v>
      </c>
      <c r="N125" s="11">
        <f t="shared" si="2"/>
        <v>0.13476527900797167</v>
      </c>
      <c r="O125">
        <f t="shared" si="3"/>
        <v>421</v>
      </c>
    </row>
    <row r="126" spans="1:15">
      <c r="A126" t="s">
        <v>118</v>
      </c>
      <c r="B126" t="s">
        <v>364</v>
      </c>
      <c r="C126" s="5">
        <v>45304</v>
      </c>
      <c r="D126" t="s">
        <v>56</v>
      </c>
      <c r="E126" t="s">
        <v>26</v>
      </c>
      <c r="F126">
        <v>4781</v>
      </c>
      <c r="G126">
        <v>191</v>
      </c>
      <c r="H126">
        <v>122</v>
      </c>
      <c r="I126">
        <v>35535</v>
      </c>
      <c r="J126">
        <v>50777</v>
      </c>
      <c r="K126">
        <v>128</v>
      </c>
      <c r="L126" t="s">
        <v>21</v>
      </c>
      <c r="M126" t="s">
        <v>58</v>
      </c>
      <c r="N126" s="11">
        <f t="shared" si="2"/>
        <v>0.14335162515829464</v>
      </c>
      <c r="O126">
        <f t="shared" si="3"/>
        <v>378</v>
      </c>
    </row>
    <row r="127" spans="1:15">
      <c r="A127" t="s">
        <v>118</v>
      </c>
      <c r="B127" t="s">
        <v>364</v>
      </c>
      <c r="C127" s="5">
        <v>45304</v>
      </c>
      <c r="D127" t="s">
        <v>56</v>
      </c>
      <c r="E127" t="s">
        <v>26</v>
      </c>
      <c r="F127">
        <v>4781</v>
      </c>
      <c r="G127">
        <v>191</v>
      </c>
      <c r="H127">
        <v>122</v>
      </c>
      <c r="I127">
        <v>35535</v>
      </c>
      <c r="J127">
        <v>50777</v>
      </c>
      <c r="K127">
        <v>128</v>
      </c>
      <c r="L127" t="s">
        <v>44</v>
      </c>
      <c r="M127" t="s">
        <v>58</v>
      </c>
      <c r="N127" s="11">
        <f t="shared" si="2"/>
        <v>0.14335162515829464</v>
      </c>
      <c r="O127">
        <f t="shared" si="3"/>
        <v>378</v>
      </c>
    </row>
    <row r="128" spans="1:15">
      <c r="A128" t="s">
        <v>119</v>
      </c>
      <c r="B128" t="s">
        <v>14</v>
      </c>
      <c r="C128" s="5">
        <v>45825</v>
      </c>
      <c r="D128" t="s">
        <v>15</v>
      </c>
      <c r="E128" t="s">
        <v>31</v>
      </c>
      <c r="F128">
        <v>2284</v>
      </c>
      <c r="G128">
        <v>187</v>
      </c>
      <c r="H128">
        <v>260</v>
      </c>
      <c r="I128">
        <v>37400</v>
      </c>
      <c r="J128">
        <v>65014</v>
      </c>
      <c r="K128">
        <v>157</v>
      </c>
      <c r="L128" t="s">
        <v>44</v>
      </c>
      <c r="M128" t="s">
        <v>18</v>
      </c>
      <c r="N128" s="11">
        <f t="shared" si="2"/>
        <v>7.3021390374331557E-2</v>
      </c>
      <c r="O128">
        <f t="shared" si="3"/>
        <v>327</v>
      </c>
    </row>
    <row r="129" spans="1:15">
      <c r="A129" t="s">
        <v>119</v>
      </c>
      <c r="B129" t="s">
        <v>14</v>
      </c>
      <c r="C129" s="5">
        <v>45825</v>
      </c>
      <c r="D129" t="s">
        <v>15</v>
      </c>
      <c r="E129" t="s">
        <v>31</v>
      </c>
      <c r="F129">
        <v>2284</v>
      </c>
      <c r="G129">
        <v>187</v>
      </c>
      <c r="H129">
        <v>260</v>
      </c>
      <c r="I129">
        <v>37400</v>
      </c>
      <c r="J129">
        <v>65014</v>
      </c>
      <c r="K129">
        <v>157</v>
      </c>
      <c r="L129" t="s">
        <v>41</v>
      </c>
      <c r="M129" t="s">
        <v>18</v>
      </c>
      <c r="N129" s="11">
        <f t="shared" si="2"/>
        <v>7.3021390374331557E-2</v>
      </c>
      <c r="O129">
        <f t="shared" si="3"/>
        <v>327</v>
      </c>
    </row>
    <row r="130" spans="1:15">
      <c r="A130" t="s">
        <v>120</v>
      </c>
      <c r="B130" t="s">
        <v>24</v>
      </c>
      <c r="C130" s="5">
        <v>45723</v>
      </c>
      <c r="D130" t="s">
        <v>15</v>
      </c>
      <c r="E130" t="s">
        <v>36</v>
      </c>
      <c r="F130">
        <v>4234</v>
      </c>
      <c r="G130">
        <v>486</v>
      </c>
      <c r="H130">
        <v>276</v>
      </c>
      <c r="I130">
        <v>56623</v>
      </c>
      <c r="J130">
        <v>41343</v>
      </c>
      <c r="K130">
        <v>184</v>
      </c>
      <c r="L130" t="s">
        <v>44</v>
      </c>
      <c r="M130" t="s">
        <v>22</v>
      </c>
      <c r="N130" s="11">
        <f t="shared" ref="N130:N193" si="4">(F130+G130+H130)/I130</f>
        <v>8.8232696960599044E-2</v>
      </c>
      <c r="O130">
        <f t="shared" ref="O130:O193" si="5">_xlfn.RANK.EQ(K130,K:K,0)</f>
        <v>255</v>
      </c>
    </row>
    <row r="131" spans="1:15">
      <c r="A131" t="s">
        <v>121</v>
      </c>
      <c r="B131" t="s">
        <v>14</v>
      </c>
      <c r="C131" s="5">
        <v>45530</v>
      </c>
      <c r="D131" t="s">
        <v>15</v>
      </c>
      <c r="E131" t="s">
        <v>50</v>
      </c>
      <c r="F131">
        <v>2102</v>
      </c>
      <c r="G131">
        <v>181</v>
      </c>
      <c r="H131">
        <v>306</v>
      </c>
      <c r="I131">
        <v>43650</v>
      </c>
      <c r="J131">
        <v>50079</v>
      </c>
      <c r="K131">
        <v>182</v>
      </c>
      <c r="L131" t="s">
        <v>21</v>
      </c>
      <c r="M131" t="s">
        <v>22</v>
      </c>
      <c r="N131" s="11">
        <f t="shared" si="4"/>
        <v>5.9312714776632303E-2</v>
      </c>
      <c r="O131">
        <f t="shared" si="5"/>
        <v>259</v>
      </c>
    </row>
    <row r="132" spans="1:15">
      <c r="A132" t="s">
        <v>122</v>
      </c>
      <c r="B132" t="s">
        <v>24</v>
      </c>
      <c r="C132" s="5">
        <v>45660</v>
      </c>
      <c r="D132" t="s">
        <v>25</v>
      </c>
      <c r="E132" t="s">
        <v>36</v>
      </c>
      <c r="F132">
        <v>4845</v>
      </c>
      <c r="G132">
        <v>158</v>
      </c>
      <c r="H132">
        <v>84</v>
      </c>
      <c r="I132">
        <v>34578</v>
      </c>
      <c r="J132">
        <v>51480</v>
      </c>
      <c r="K132">
        <v>180</v>
      </c>
      <c r="L132" t="s">
        <v>44</v>
      </c>
      <c r="M132" t="s">
        <v>18</v>
      </c>
      <c r="N132" s="11">
        <f t="shared" si="4"/>
        <v>0.1471166637746544</v>
      </c>
      <c r="O132">
        <f t="shared" si="5"/>
        <v>263</v>
      </c>
    </row>
    <row r="133" spans="1:15">
      <c r="A133" t="s">
        <v>122</v>
      </c>
      <c r="B133" t="s">
        <v>24</v>
      </c>
      <c r="C133" s="5">
        <v>45660</v>
      </c>
      <c r="D133" t="s">
        <v>25</v>
      </c>
      <c r="E133" t="s">
        <v>36</v>
      </c>
      <c r="F133">
        <v>4845</v>
      </c>
      <c r="G133">
        <v>158</v>
      </c>
      <c r="H133">
        <v>84</v>
      </c>
      <c r="I133">
        <v>34578</v>
      </c>
      <c r="J133">
        <v>51480</v>
      </c>
      <c r="K133">
        <v>180</v>
      </c>
      <c r="L133" t="s">
        <v>41</v>
      </c>
      <c r="M133" t="s">
        <v>18</v>
      </c>
      <c r="N133" s="11">
        <f t="shared" si="4"/>
        <v>0.1471166637746544</v>
      </c>
      <c r="O133">
        <f t="shared" si="5"/>
        <v>263</v>
      </c>
    </row>
    <row r="134" spans="1:15">
      <c r="A134" t="s">
        <v>123</v>
      </c>
      <c r="B134" t="s">
        <v>24</v>
      </c>
      <c r="C134" s="5">
        <v>45507</v>
      </c>
      <c r="D134" t="s">
        <v>15</v>
      </c>
      <c r="E134" t="s">
        <v>50</v>
      </c>
      <c r="F134">
        <v>4247</v>
      </c>
      <c r="G134">
        <v>390</v>
      </c>
      <c r="H134">
        <v>213</v>
      </c>
      <c r="I134">
        <v>29785</v>
      </c>
      <c r="J134">
        <v>57768</v>
      </c>
      <c r="K134">
        <v>122</v>
      </c>
      <c r="L134" t="s">
        <v>41</v>
      </c>
      <c r="M134" t="s">
        <v>18</v>
      </c>
      <c r="N134" s="11">
        <f t="shared" si="4"/>
        <v>0.16283364109451065</v>
      </c>
      <c r="O134">
        <f t="shared" si="5"/>
        <v>386</v>
      </c>
    </row>
    <row r="135" spans="1:15">
      <c r="A135" t="s">
        <v>124</v>
      </c>
      <c r="B135" t="s">
        <v>14</v>
      </c>
      <c r="C135" s="5">
        <v>45522</v>
      </c>
      <c r="D135" t="s">
        <v>15</v>
      </c>
      <c r="E135" t="s">
        <v>20</v>
      </c>
      <c r="F135">
        <v>2965</v>
      </c>
      <c r="G135">
        <v>328</v>
      </c>
      <c r="H135">
        <v>171</v>
      </c>
      <c r="I135">
        <v>57685</v>
      </c>
      <c r="J135">
        <v>67536</v>
      </c>
      <c r="K135">
        <v>264</v>
      </c>
      <c r="L135" t="s">
        <v>44</v>
      </c>
      <c r="M135" t="s">
        <v>18</v>
      </c>
      <c r="N135" s="11">
        <f t="shared" si="4"/>
        <v>6.0050273034584378E-2</v>
      </c>
      <c r="O135">
        <f t="shared" si="5"/>
        <v>96</v>
      </c>
    </row>
    <row r="136" spans="1:15">
      <c r="A136" t="s">
        <v>124</v>
      </c>
      <c r="B136" t="s">
        <v>14</v>
      </c>
      <c r="C136" s="5">
        <v>45522</v>
      </c>
      <c r="D136" t="s">
        <v>15</v>
      </c>
      <c r="E136" t="s">
        <v>20</v>
      </c>
      <c r="F136">
        <v>2965</v>
      </c>
      <c r="G136">
        <v>328</v>
      </c>
      <c r="H136">
        <v>171</v>
      </c>
      <c r="I136">
        <v>57685</v>
      </c>
      <c r="J136">
        <v>67536</v>
      </c>
      <c r="K136">
        <v>264</v>
      </c>
      <c r="L136" t="s">
        <v>41</v>
      </c>
      <c r="M136" t="s">
        <v>18</v>
      </c>
      <c r="N136" s="11">
        <f t="shared" si="4"/>
        <v>6.0050273034584378E-2</v>
      </c>
      <c r="O136">
        <f t="shared" si="5"/>
        <v>96</v>
      </c>
    </row>
    <row r="137" spans="1:15">
      <c r="A137" t="s">
        <v>125</v>
      </c>
      <c r="B137" t="s">
        <v>24</v>
      </c>
      <c r="C137" s="5">
        <v>45791</v>
      </c>
      <c r="D137" t="s">
        <v>25</v>
      </c>
      <c r="E137" t="s">
        <v>29</v>
      </c>
      <c r="F137">
        <v>1371</v>
      </c>
      <c r="G137">
        <v>139</v>
      </c>
      <c r="H137">
        <v>96</v>
      </c>
      <c r="I137">
        <v>36140</v>
      </c>
      <c r="J137">
        <v>39395</v>
      </c>
      <c r="K137">
        <v>169</v>
      </c>
      <c r="L137" t="s">
        <v>44</v>
      </c>
      <c r="M137" t="s">
        <v>18</v>
      </c>
      <c r="N137" s="11">
        <f t="shared" si="4"/>
        <v>4.4438295517432211E-2</v>
      </c>
      <c r="O137">
        <f t="shared" si="5"/>
        <v>297</v>
      </c>
    </row>
    <row r="138" spans="1:15">
      <c r="A138" t="s">
        <v>125</v>
      </c>
      <c r="B138" t="s">
        <v>24</v>
      </c>
      <c r="C138" s="5">
        <v>45791</v>
      </c>
      <c r="D138" t="s">
        <v>25</v>
      </c>
      <c r="E138" t="s">
        <v>29</v>
      </c>
      <c r="F138">
        <v>1371</v>
      </c>
      <c r="G138">
        <v>139</v>
      </c>
      <c r="H138">
        <v>96</v>
      </c>
      <c r="I138">
        <v>36140</v>
      </c>
      <c r="J138">
        <v>39395</v>
      </c>
      <c r="K138">
        <v>169</v>
      </c>
      <c r="L138" t="s">
        <v>41</v>
      </c>
      <c r="M138" t="s">
        <v>18</v>
      </c>
      <c r="N138" s="11">
        <f t="shared" si="4"/>
        <v>4.4438295517432211E-2</v>
      </c>
      <c r="O138">
        <f t="shared" si="5"/>
        <v>297</v>
      </c>
    </row>
    <row r="139" spans="1:15">
      <c r="A139" t="s">
        <v>126</v>
      </c>
      <c r="B139" t="s">
        <v>24</v>
      </c>
      <c r="C139" s="5">
        <v>45405</v>
      </c>
      <c r="D139" t="s">
        <v>25</v>
      </c>
      <c r="E139" t="s">
        <v>16</v>
      </c>
      <c r="F139">
        <v>2683</v>
      </c>
      <c r="G139">
        <v>496</v>
      </c>
      <c r="H139">
        <v>89</v>
      </c>
      <c r="I139">
        <v>53435</v>
      </c>
      <c r="J139">
        <v>30334</v>
      </c>
      <c r="K139">
        <v>160</v>
      </c>
      <c r="L139" t="s">
        <v>44</v>
      </c>
      <c r="M139" t="s">
        <v>18</v>
      </c>
      <c r="N139" s="11">
        <f t="shared" si="4"/>
        <v>6.1158416768035934E-2</v>
      </c>
      <c r="O139">
        <f t="shared" si="5"/>
        <v>314</v>
      </c>
    </row>
    <row r="140" spans="1:15">
      <c r="A140" t="s">
        <v>126</v>
      </c>
      <c r="B140" t="s">
        <v>24</v>
      </c>
      <c r="C140" s="5">
        <v>45405</v>
      </c>
      <c r="D140" t="s">
        <v>25</v>
      </c>
      <c r="E140" t="s">
        <v>16</v>
      </c>
      <c r="F140">
        <v>2683</v>
      </c>
      <c r="G140">
        <v>496</v>
      </c>
      <c r="H140">
        <v>89</v>
      </c>
      <c r="I140">
        <v>53435</v>
      </c>
      <c r="J140">
        <v>30334</v>
      </c>
      <c r="K140">
        <v>160</v>
      </c>
      <c r="L140" t="s">
        <v>41</v>
      </c>
      <c r="M140" t="s">
        <v>18</v>
      </c>
      <c r="N140" s="11">
        <f t="shared" si="4"/>
        <v>6.1158416768035934E-2</v>
      </c>
      <c r="O140">
        <f t="shared" si="5"/>
        <v>314</v>
      </c>
    </row>
    <row r="141" spans="1:15">
      <c r="A141" t="s">
        <v>127</v>
      </c>
      <c r="B141" t="s">
        <v>24</v>
      </c>
      <c r="C141" s="5">
        <v>45705</v>
      </c>
      <c r="D141" t="s">
        <v>25</v>
      </c>
      <c r="E141" t="s">
        <v>34</v>
      </c>
      <c r="F141">
        <v>4796</v>
      </c>
      <c r="G141">
        <v>427</v>
      </c>
      <c r="H141">
        <v>339</v>
      </c>
      <c r="I141">
        <v>30752</v>
      </c>
      <c r="J141">
        <v>33870</v>
      </c>
      <c r="K141">
        <v>298</v>
      </c>
      <c r="L141" t="s">
        <v>44</v>
      </c>
      <c r="M141" t="s">
        <v>18</v>
      </c>
      <c r="N141" s="11">
        <f t="shared" si="4"/>
        <v>0.18086628511966701</v>
      </c>
      <c r="O141">
        <f t="shared" si="5"/>
        <v>3</v>
      </c>
    </row>
    <row r="142" spans="1:15">
      <c r="A142" t="s">
        <v>127</v>
      </c>
      <c r="B142" t="s">
        <v>24</v>
      </c>
      <c r="C142" s="5">
        <v>45705</v>
      </c>
      <c r="D142" t="s">
        <v>25</v>
      </c>
      <c r="E142" t="s">
        <v>34</v>
      </c>
      <c r="F142">
        <v>4796</v>
      </c>
      <c r="G142">
        <v>427</v>
      </c>
      <c r="H142">
        <v>339</v>
      </c>
      <c r="I142">
        <v>30752</v>
      </c>
      <c r="J142">
        <v>33870</v>
      </c>
      <c r="K142">
        <v>298</v>
      </c>
      <c r="L142" t="s">
        <v>41</v>
      </c>
      <c r="M142" t="s">
        <v>18</v>
      </c>
      <c r="N142" s="11">
        <f t="shared" si="4"/>
        <v>0.18086628511966701</v>
      </c>
      <c r="O142">
        <f t="shared" si="5"/>
        <v>3</v>
      </c>
    </row>
    <row r="143" spans="1:15">
      <c r="A143" t="s">
        <v>128</v>
      </c>
      <c r="B143" t="s">
        <v>14</v>
      </c>
      <c r="C143" s="5">
        <v>45630</v>
      </c>
      <c r="D143" t="s">
        <v>15</v>
      </c>
      <c r="E143" t="s">
        <v>29</v>
      </c>
      <c r="F143">
        <v>2601</v>
      </c>
      <c r="G143">
        <v>336</v>
      </c>
      <c r="H143">
        <v>260</v>
      </c>
      <c r="I143">
        <v>32368</v>
      </c>
      <c r="J143">
        <v>49028</v>
      </c>
      <c r="K143">
        <v>120</v>
      </c>
      <c r="L143" t="s">
        <v>44</v>
      </c>
      <c r="M143" t="s">
        <v>18</v>
      </c>
      <c r="N143" s="11">
        <f t="shared" si="4"/>
        <v>9.8770390509144837E-2</v>
      </c>
      <c r="O143">
        <f t="shared" si="5"/>
        <v>391</v>
      </c>
    </row>
    <row r="144" spans="1:15">
      <c r="A144" t="s">
        <v>128</v>
      </c>
      <c r="B144" t="s">
        <v>14</v>
      </c>
      <c r="C144" s="5">
        <v>45630</v>
      </c>
      <c r="D144" t="s">
        <v>15</v>
      </c>
      <c r="E144" t="s">
        <v>29</v>
      </c>
      <c r="F144">
        <v>2601</v>
      </c>
      <c r="G144">
        <v>336</v>
      </c>
      <c r="H144">
        <v>260</v>
      </c>
      <c r="I144">
        <v>32368</v>
      </c>
      <c r="J144">
        <v>49028</v>
      </c>
      <c r="K144">
        <v>120</v>
      </c>
      <c r="L144" t="s">
        <v>41</v>
      </c>
      <c r="M144" t="s">
        <v>18</v>
      </c>
      <c r="N144" s="11">
        <f t="shared" si="4"/>
        <v>9.8770390509144837E-2</v>
      </c>
      <c r="O144">
        <f t="shared" si="5"/>
        <v>391</v>
      </c>
    </row>
    <row r="145" spans="1:15">
      <c r="A145" t="s">
        <v>129</v>
      </c>
      <c r="B145" t="s">
        <v>24</v>
      </c>
      <c r="C145" s="5">
        <v>45495</v>
      </c>
      <c r="D145" t="s">
        <v>25</v>
      </c>
      <c r="E145" t="s">
        <v>29</v>
      </c>
      <c r="F145">
        <v>3336</v>
      </c>
      <c r="G145">
        <v>229</v>
      </c>
      <c r="H145">
        <v>337</v>
      </c>
      <c r="I145">
        <v>22117</v>
      </c>
      <c r="J145">
        <v>26205</v>
      </c>
      <c r="K145">
        <v>160</v>
      </c>
      <c r="L145" t="s">
        <v>365</v>
      </c>
      <c r="M145" t="s">
        <v>18</v>
      </c>
      <c r="N145" s="11">
        <f t="shared" si="4"/>
        <v>0.17642537414658407</v>
      </c>
      <c r="O145">
        <f t="shared" si="5"/>
        <v>314</v>
      </c>
    </row>
    <row r="146" spans="1:15">
      <c r="A146" t="s">
        <v>129</v>
      </c>
      <c r="B146" t="s">
        <v>24</v>
      </c>
      <c r="C146" s="5">
        <v>45495</v>
      </c>
      <c r="D146" t="s">
        <v>25</v>
      </c>
      <c r="E146" t="s">
        <v>29</v>
      </c>
      <c r="F146">
        <v>3336</v>
      </c>
      <c r="G146">
        <v>229</v>
      </c>
      <c r="H146">
        <v>337</v>
      </c>
      <c r="I146">
        <v>22117</v>
      </c>
      <c r="J146">
        <v>26205</v>
      </c>
      <c r="K146">
        <v>160</v>
      </c>
      <c r="L146" t="s">
        <v>41</v>
      </c>
      <c r="M146" t="s">
        <v>18</v>
      </c>
      <c r="N146" s="11">
        <f t="shared" si="4"/>
        <v>0.17642537414658407</v>
      </c>
      <c r="O146">
        <f t="shared" si="5"/>
        <v>314</v>
      </c>
    </row>
    <row r="147" spans="1:15">
      <c r="A147" t="s">
        <v>130</v>
      </c>
      <c r="B147" t="s">
        <v>24</v>
      </c>
      <c r="C147" s="5">
        <v>45774</v>
      </c>
      <c r="D147" t="s">
        <v>15</v>
      </c>
      <c r="E147" t="s">
        <v>20</v>
      </c>
      <c r="F147">
        <v>1165</v>
      </c>
      <c r="G147">
        <v>294</v>
      </c>
      <c r="H147">
        <v>163</v>
      </c>
      <c r="I147">
        <v>20659</v>
      </c>
      <c r="J147">
        <v>45926</v>
      </c>
      <c r="K147">
        <v>111</v>
      </c>
      <c r="L147" t="s">
        <v>44</v>
      </c>
      <c r="M147" t="s">
        <v>22</v>
      </c>
      <c r="N147" s="11">
        <f t="shared" si="4"/>
        <v>7.8512996756861422E-2</v>
      </c>
      <c r="O147">
        <f t="shared" si="5"/>
        <v>416</v>
      </c>
    </row>
    <row r="148" spans="1:15">
      <c r="A148" t="s">
        <v>131</v>
      </c>
      <c r="B148" t="s">
        <v>364</v>
      </c>
      <c r="C148" s="5">
        <v>45376</v>
      </c>
      <c r="D148" t="s">
        <v>56</v>
      </c>
      <c r="E148" t="s">
        <v>20</v>
      </c>
      <c r="F148">
        <v>1948</v>
      </c>
      <c r="G148">
        <v>155</v>
      </c>
      <c r="H148">
        <v>315</v>
      </c>
      <c r="I148">
        <v>30321</v>
      </c>
      <c r="J148">
        <v>57121</v>
      </c>
      <c r="K148">
        <v>82</v>
      </c>
      <c r="L148" t="s">
        <v>21</v>
      </c>
      <c r="M148" t="s">
        <v>58</v>
      </c>
      <c r="N148" s="11">
        <f t="shared" si="4"/>
        <v>7.974671020085089E-2</v>
      </c>
      <c r="O148">
        <f t="shared" si="5"/>
        <v>477</v>
      </c>
    </row>
    <row r="149" spans="1:15">
      <c r="A149" t="s">
        <v>131</v>
      </c>
      <c r="B149" t="s">
        <v>364</v>
      </c>
      <c r="C149" s="5">
        <v>45376</v>
      </c>
      <c r="D149" t="s">
        <v>56</v>
      </c>
      <c r="E149" t="s">
        <v>20</v>
      </c>
      <c r="F149">
        <v>1948</v>
      </c>
      <c r="G149">
        <v>155</v>
      </c>
      <c r="H149">
        <v>315</v>
      </c>
      <c r="I149">
        <v>30321</v>
      </c>
      <c r="J149">
        <v>57121</v>
      </c>
      <c r="K149">
        <v>82</v>
      </c>
      <c r="L149" t="s">
        <v>44</v>
      </c>
      <c r="M149" t="s">
        <v>58</v>
      </c>
      <c r="N149" s="11">
        <f t="shared" si="4"/>
        <v>7.974671020085089E-2</v>
      </c>
      <c r="O149">
        <f t="shared" si="5"/>
        <v>477</v>
      </c>
    </row>
    <row r="150" spans="1:15">
      <c r="A150" t="s">
        <v>132</v>
      </c>
      <c r="B150" t="s">
        <v>14</v>
      </c>
      <c r="C150" s="5">
        <v>45351</v>
      </c>
      <c r="D150" t="s">
        <v>15</v>
      </c>
      <c r="E150" t="s">
        <v>48</v>
      </c>
      <c r="F150">
        <v>1100</v>
      </c>
      <c r="G150">
        <v>229</v>
      </c>
      <c r="H150">
        <v>312</v>
      </c>
      <c r="I150">
        <v>25641</v>
      </c>
      <c r="J150">
        <v>34601</v>
      </c>
      <c r="K150">
        <v>169</v>
      </c>
      <c r="L150" t="s">
        <v>21</v>
      </c>
      <c r="M150" t="s">
        <v>22</v>
      </c>
      <c r="N150" s="11">
        <f t="shared" si="4"/>
        <v>6.3999063999063993E-2</v>
      </c>
      <c r="O150">
        <f t="shared" si="5"/>
        <v>297</v>
      </c>
    </row>
    <row r="151" spans="1:15">
      <c r="A151" t="s">
        <v>133</v>
      </c>
      <c r="B151" t="s">
        <v>24</v>
      </c>
      <c r="C151" s="5">
        <v>45609</v>
      </c>
      <c r="D151" t="s">
        <v>25</v>
      </c>
      <c r="E151" t="s">
        <v>40</v>
      </c>
      <c r="F151">
        <v>4628</v>
      </c>
      <c r="G151">
        <v>257</v>
      </c>
      <c r="H151">
        <v>397</v>
      </c>
      <c r="I151">
        <v>36686</v>
      </c>
      <c r="J151">
        <v>54683</v>
      </c>
      <c r="K151">
        <v>98</v>
      </c>
      <c r="L151" t="s">
        <v>44</v>
      </c>
      <c r="M151" t="s">
        <v>18</v>
      </c>
      <c r="N151" s="11">
        <f t="shared" si="4"/>
        <v>0.1439786294499264</v>
      </c>
      <c r="O151">
        <f t="shared" si="5"/>
        <v>442</v>
      </c>
    </row>
    <row r="152" spans="1:15">
      <c r="A152" t="s">
        <v>133</v>
      </c>
      <c r="B152" t="s">
        <v>24</v>
      </c>
      <c r="C152" s="5">
        <v>45609</v>
      </c>
      <c r="D152" t="s">
        <v>25</v>
      </c>
      <c r="E152" t="s">
        <v>40</v>
      </c>
      <c r="F152">
        <v>4628</v>
      </c>
      <c r="G152">
        <v>257</v>
      </c>
      <c r="H152">
        <v>397</v>
      </c>
      <c r="I152">
        <v>36686</v>
      </c>
      <c r="J152">
        <v>54683</v>
      </c>
      <c r="K152">
        <v>98</v>
      </c>
      <c r="L152" t="s">
        <v>41</v>
      </c>
      <c r="M152" t="s">
        <v>18</v>
      </c>
      <c r="N152" s="11">
        <f t="shared" si="4"/>
        <v>0.1439786294499264</v>
      </c>
      <c r="O152">
        <f t="shared" si="5"/>
        <v>442</v>
      </c>
    </row>
    <row r="153" spans="1:15">
      <c r="A153" t="s">
        <v>134</v>
      </c>
      <c r="B153" t="s">
        <v>14</v>
      </c>
      <c r="C153" s="5">
        <v>45373</v>
      </c>
      <c r="D153" t="s">
        <v>25</v>
      </c>
      <c r="E153" t="s">
        <v>16</v>
      </c>
      <c r="F153">
        <v>2319</v>
      </c>
      <c r="G153">
        <v>484</v>
      </c>
      <c r="H153">
        <v>193</v>
      </c>
      <c r="I153">
        <v>21202</v>
      </c>
      <c r="J153">
        <v>18091</v>
      </c>
      <c r="K153">
        <v>241</v>
      </c>
      <c r="L153" t="s">
        <v>41</v>
      </c>
      <c r="M153" t="s">
        <v>54</v>
      </c>
      <c r="N153" s="11">
        <f t="shared" si="4"/>
        <v>0.14130742382794076</v>
      </c>
      <c r="O153">
        <f t="shared" si="5"/>
        <v>126</v>
      </c>
    </row>
    <row r="154" spans="1:15">
      <c r="A154" t="s">
        <v>135</v>
      </c>
      <c r="B154" t="s">
        <v>24</v>
      </c>
      <c r="C154" s="5">
        <v>45367</v>
      </c>
      <c r="D154" t="s">
        <v>25</v>
      </c>
      <c r="E154" t="s">
        <v>29</v>
      </c>
      <c r="F154">
        <v>2895</v>
      </c>
      <c r="G154">
        <v>292</v>
      </c>
      <c r="H154">
        <v>90</v>
      </c>
      <c r="I154">
        <v>24223</v>
      </c>
      <c r="J154">
        <v>54626</v>
      </c>
      <c r="K154">
        <v>114</v>
      </c>
      <c r="L154" t="s">
        <v>44</v>
      </c>
      <c r="M154" t="s">
        <v>18</v>
      </c>
      <c r="N154" s="11">
        <f t="shared" si="4"/>
        <v>0.13528464682326713</v>
      </c>
      <c r="O154">
        <f t="shared" si="5"/>
        <v>404</v>
      </c>
    </row>
    <row r="155" spans="1:15">
      <c r="A155" t="s">
        <v>135</v>
      </c>
      <c r="B155" t="s">
        <v>24</v>
      </c>
      <c r="C155" s="5">
        <v>45367</v>
      </c>
      <c r="D155" t="s">
        <v>25</v>
      </c>
      <c r="E155" t="s">
        <v>29</v>
      </c>
      <c r="F155">
        <v>2895</v>
      </c>
      <c r="G155">
        <v>292</v>
      </c>
      <c r="H155">
        <v>90</v>
      </c>
      <c r="I155">
        <v>24223</v>
      </c>
      <c r="J155">
        <v>54626</v>
      </c>
      <c r="K155">
        <v>114</v>
      </c>
      <c r="L155" t="s">
        <v>41</v>
      </c>
      <c r="M155" t="s">
        <v>18</v>
      </c>
      <c r="N155" s="11">
        <f t="shared" si="4"/>
        <v>0.13528464682326713</v>
      </c>
      <c r="O155">
        <f t="shared" si="5"/>
        <v>404</v>
      </c>
    </row>
    <row r="156" spans="1:15">
      <c r="A156" t="s">
        <v>136</v>
      </c>
      <c r="B156" t="s">
        <v>14</v>
      </c>
      <c r="C156" s="5">
        <v>45317</v>
      </c>
      <c r="D156" t="s">
        <v>15</v>
      </c>
      <c r="E156" t="s">
        <v>34</v>
      </c>
      <c r="F156">
        <v>3878</v>
      </c>
      <c r="G156">
        <v>431</v>
      </c>
      <c r="H156">
        <v>97</v>
      </c>
      <c r="I156">
        <v>41763</v>
      </c>
      <c r="J156">
        <v>29729</v>
      </c>
      <c r="K156">
        <v>191</v>
      </c>
      <c r="L156" t="s">
        <v>21</v>
      </c>
      <c r="M156" t="s">
        <v>22</v>
      </c>
      <c r="N156" s="11">
        <f t="shared" si="4"/>
        <v>0.10550008380623997</v>
      </c>
      <c r="O156">
        <f t="shared" si="5"/>
        <v>246</v>
      </c>
    </row>
    <row r="157" spans="1:15">
      <c r="A157" t="s">
        <v>137</v>
      </c>
      <c r="B157" t="s">
        <v>24</v>
      </c>
      <c r="C157" s="5">
        <v>45366</v>
      </c>
      <c r="D157" t="s">
        <v>25</v>
      </c>
      <c r="E157" t="s">
        <v>36</v>
      </c>
      <c r="F157">
        <v>4969</v>
      </c>
      <c r="G157">
        <v>433</v>
      </c>
      <c r="H157">
        <v>237</v>
      </c>
      <c r="I157">
        <v>59552</v>
      </c>
      <c r="J157">
        <v>23885</v>
      </c>
      <c r="K157">
        <v>157</v>
      </c>
      <c r="L157" t="s">
        <v>21</v>
      </c>
      <c r="M157" t="s">
        <v>18</v>
      </c>
      <c r="N157" s="11">
        <f t="shared" si="4"/>
        <v>9.4690354648038683E-2</v>
      </c>
      <c r="O157">
        <f t="shared" si="5"/>
        <v>327</v>
      </c>
    </row>
    <row r="158" spans="1:15">
      <c r="A158" t="s">
        <v>137</v>
      </c>
      <c r="B158" t="s">
        <v>24</v>
      </c>
      <c r="C158" s="5">
        <v>45366</v>
      </c>
      <c r="D158" t="s">
        <v>25</v>
      </c>
      <c r="E158" t="s">
        <v>36</v>
      </c>
      <c r="F158">
        <v>4969</v>
      </c>
      <c r="G158">
        <v>433</v>
      </c>
      <c r="H158">
        <v>237</v>
      </c>
      <c r="I158">
        <v>59552</v>
      </c>
      <c r="J158">
        <v>23885</v>
      </c>
      <c r="K158">
        <v>157</v>
      </c>
      <c r="L158" t="s">
        <v>365</v>
      </c>
      <c r="M158" t="s">
        <v>18</v>
      </c>
      <c r="N158" s="11">
        <f t="shared" si="4"/>
        <v>9.4690354648038683E-2</v>
      </c>
      <c r="O158">
        <f t="shared" si="5"/>
        <v>327</v>
      </c>
    </row>
    <row r="159" spans="1:15">
      <c r="A159" t="s">
        <v>138</v>
      </c>
      <c r="B159" t="s">
        <v>24</v>
      </c>
      <c r="C159" s="5">
        <v>45580</v>
      </c>
      <c r="D159" t="s">
        <v>15</v>
      </c>
      <c r="E159" t="s">
        <v>29</v>
      </c>
      <c r="F159">
        <v>1984</v>
      </c>
      <c r="G159">
        <v>481</v>
      </c>
      <c r="H159">
        <v>356</v>
      </c>
      <c r="I159">
        <v>40681</v>
      </c>
      <c r="J159">
        <v>63111</v>
      </c>
      <c r="K159">
        <v>258</v>
      </c>
      <c r="L159" t="s">
        <v>41</v>
      </c>
      <c r="M159" t="s">
        <v>18</v>
      </c>
      <c r="N159" s="11">
        <f t="shared" si="4"/>
        <v>6.934441139598338E-2</v>
      </c>
      <c r="O159">
        <f t="shared" si="5"/>
        <v>108</v>
      </c>
    </row>
    <row r="160" spans="1:15">
      <c r="A160" t="s">
        <v>139</v>
      </c>
      <c r="B160" t="s">
        <v>14</v>
      </c>
      <c r="C160" s="5">
        <v>45494</v>
      </c>
      <c r="D160" t="s">
        <v>15</v>
      </c>
      <c r="E160" t="s">
        <v>16</v>
      </c>
      <c r="F160">
        <v>3004</v>
      </c>
      <c r="G160">
        <v>415</v>
      </c>
      <c r="H160">
        <v>218</v>
      </c>
      <c r="I160">
        <v>36090</v>
      </c>
      <c r="J160">
        <v>37073</v>
      </c>
      <c r="K160">
        <v>181</v>
      </c>
      <c r="L160" t="s">
        <v>21</v>
      </c>
      <c r="M160" t="s">
        <v>22</v>
      </c>
      <c r="N160" s="11">
        <f t="shared" si="4"/>
        <v>0.10077583818232197</v>
      </c>
      <c r="O160">
        <f t="shared" si="5"/>
        <v>262</v>
      </c>
    </row>
    <row r="161" spans="1:15">
      <c r="A161" t="s">
        <v>140</v>
      </c>
      <c r="B161" t="s">
        <v>24</v>
      </c>
      <c r="C161" s="5">
        <v>45577</v>
      </c>
      <c r="D161" t="s">
        <v>15</v>
      </c>
      <c r="E161" t="s">
        <v>36</v>
      </c>
      <c r="F161">
        <v>3169</v>
      </c>
      <c r="G161">
        <v>386</v>
      </c>
      <c r="H161">
        <v>175</v>
      </c>
      <c r="I161">
        <v>45012</v>
      </c>
      <c r="J161">
        <v>38508</v>
      </c>
      <c r="K161">
        <v>218</v>
      </c>
      <c r="L161" t="s">
        <v>41</v>
      </c>
      <c r="M161" t="s">
        <v>18</v>
      </c>
      <c r="N161" s="11">
        <f t="shared" si="4"/>
        <v>8.2866791077934779E-2</v>
      </c>
      <c r="O161">
        <f t="shared" si="5"/>
        <v>184</v>
      </c>
    </row>
    <row r="162" spans="1:15">
      <c r="A162" t="s">
        <v>141</v>
      </c>
      <c r="B162" t="s">
        <v>24</v>
      </c>
      <c r="C162" s="5">
        <v>45591</v>
      </c>
      <c r="D162" t="s">
        <v>15</v>
      </c>
      <c r="E162" t="s">
        <v>16</v>
      </c>
      <c r="F162">
        <v>3036</v>
      </c>
      <c r="G162">
        <v>293</v>
      </c>
      <c r="H162">
        <v>115</v>
      </c>
      <c r="I162">
        <v>23776</v>
      </c>
      <c r="J162">
        <v>46386</v>
      </c>
      <c r="K162">
        <v>282</v>
      </c>
      <c r="L162" t="s">
        <v>41</v>
      </c>
      <c r="M162" t="s">
        <v>18</v>
      </c>
      <c r="N162" s="11">
        <f t="shared" si="4"/>
        <v>0.14485195154777927</v>
      </c>
      <c r="O162">
        <f t="shared" si="5"/>
        <v>38</v>
      </c>
    </row>
    <row r="163" spans="1:15">
      <c r="A163" t="s">
        <v>142</v>
      </c>
      <c r="B163" t="s">
        <v>14</v>
      </c>
      <c r="C163" s="5">
        <v>45336</v>
      </c>
      <c r="D163" t="s">
        <v>15</v>
      </c>
      <c r="E163" t="s">
        <v>31</v>
      </c>
      <c r="F163">
        <v>1830</v>
      </c>
      <c r="G163">
        <v>112</v>
      </c>
      <c r="H163">
        <v>181</v>
      </c>
      <c r="I163">
        <v>31870</v>
      </c>
      <c r="J163">
        <v>55742</v>
      </c>
      <c r="K163">
        <v>263</v>
      </c>
      <c r="L163" t="s">
        <v>44</v>
      </c>
      <c r="M163" t="s">
        <v>18</v>
      </c>
      <c r="N163" s="11">
        <f t="shared" si="4"/>
        <v>6.6614370881706936E-2</v>
      </c>
      <c r="O163">
        <f t="shared" si="5"/>
        <v>99</v>
      </c>
    </row>
    <row r="164" spans="1:15">
      <c r="A164" t="s">
        <v>142</v>
      </c>
      <c r="B164" t="s">
        <v>14</v>
      </c>
      <c r="C164" s="5">
        <v>45336</v>
      </c>
      <c r="D164" t="s">
        <v>15</v>
      </c>
      <c r="E164" t="s">
        <v>31</v>
      </c>
      <c r="F164">
        <v>1830</v>
      </c>
      <c r="G164">
        <v>112</v>
      </c>
      <c r="H164">
        <v>181</v>
      </c>
      <c r="I164">
        <v>31870</v>
      </c>
      <c r="J164">
        <v>55742</v>
      </c>
      <c r="K164">
        <v>263</v>
      </c>
      <c r="L164" t="s">
        <v>41</v>
      </c>
      <c r="M164" t="s">
        <v>18</v>
      </c>
      <c r="N164" s="11">
        <f t="shared" si="4"/>
        <v>6.6614370881706936E-2</v>
      </c>
      <c r="O164">
        <f t="shared" si="5"/>
        <v>99</v>
      </c>
    </row>
    <row r="165" spans="1:15">
      <c r="A165" t="s">
        <v>143</v>
      </c>
      <c r="B165" t="s">
        <v>24</v>
      </c>
      <c r="C165" s="5">
        <v>45413</v>
      </c>
      <c r="D165" t="s">
        <v>25</v>
      </c>
      <c r="E165" t="s">
        <v>34</v>
      </c>
      <c r="F165">
        <v>2587</v>
      </c>
      <c r="G165">
        <v>447</v>
      </c>
      <c r="H165">
        <v>183</v>
      </c>
      <c r="I165">
        <v>36266</v>
      </c>
      <c r="J165">
        <v>32877</v>
      </c>
      <c r="K165">
        <v>132</v>
      </c>
      <c r="L165" t="s">
        <v>21</v>
      </c>
      <c r="M165" t="s">
        <v>18</v>
      </c>
      <c r="N165" s="11">
        <f t="shared" si="4"/>
        <v>8.8705674736667947E-2</v>
      </c>
      <c r="O165">
        <f t="shared" si="5"/>
        <v>373</v>
      </c>
    </row>
    <row r="166" spans="1:15">
      <c r="A166" t="s">
        <v>143</v>
      </c>
      <c r="B166" t="s">
        <v>24</v>
      </c>
      <c r="C166" s="5">
        <v>45413</v>
      </c>
      <c r="D166" t="s">
        <v>25</v>
      </c>
      <c r="E166" t="s">
        <v>34</v>
      </c>
      <c r="F166">
        <v>2587</v>
      </c>
      <c r="G166">
        <v>447</v>
      </c>
      <c r="H166">
        <v>183</v>
      </c>
      <c r="I166">
        <v>36266</v>
      </c>
      <c r="J166">
        <v>32877</v>
      </c>
      <c r="K166">
        <v>132</v>
      </c>
      <c r="L166" t="s">
        <v>365</v>
      </c>
      <c r="M166" t="s">
        <v>18</v>
      </c>
      <c r="N166" s="11">
        <f t="shared" si="4"/>
        <v>8.8705674736667947E-2</v>
      </c>
      <c r="O166">
        <f t="shared" si="5"/>
        <v>373</v>
      </c>
    </row>
    <row r="167" spans="1:15">
      <c r="A167" t="s">
        <v>144</v>
      </c>
      <c r="B167" t="s">
        <v>24</v>
      </c>
      <c r="C167" s="5">
        <v>45553</v>
      </c>
      <c r="D167" t="s">
        <v>15</v>
      </c>
      <c r="E167" t="s">
        <v>16</v>
      </c>
      <c r="F167">
        <v>2878</v>
      </c>
      <c r="G167">
        <v>265</v>
      </c>
      <c r="H167">
        <v>91</v>
      </c>
      <c r="I167">
        <v>52090</v>
      </c>
      <c r="J167">
        <v>28924</v>
      </c>
      <c r="K167">
        <v>133</v>
      </c>
      <c r="L167" t="s">
        <v>41</v>
      </c>
      <c r="M167" t="s">
        <v>18</v>
      </c>
      <c r="N167" s="11">
        <f t="shared" si="4"/>
        <v>6.2084853138798232E-2</v>
      </c>
      <c r="O167">
        <f t="shared" si="5"/>
        <v>365</v>
      </c>
    </row>
    <row r="168" spans="1:15">
      <c r="A168" t="s">
        <v>145</v>
      </c>
      <c r="B168" t="s">
        <v>24</v>
      </c>
      <c r="C168" s="5">
        <v>45677</v>
      </c>
      <c r="D168" t="s">
        <v>25</v>
      </c>
      <c r="E168" t="s">
        <v>26</v>
      </c>
      <c r="F168">
        <v>4619</v>
      </c>
      <c r="G168">
        <v>272</v>
      </c>
      <c r="H168">
        <v>57</v>
      </c>
      <c r="I168">
        <v>21334</v>
      </c>
      <c r="J168">
        <v>46292</v>
      </c>
      <c r="K168">
        <v>91</v>
      </c>
      <c r="L168" t="s">
        <v>44</v>
      </c>
      <c r="M168" t="s">
        <v>18</v>
      </c>
      <c r="N168" s="11">
        <f t="shared" si="4"/>
        <v>0.23193025217961938</v>
      </c>
      <c r="O168">
        <f t="shared" si="5"/>
        <v>452</v>
      </c>
    </row>
    <row r="169" spans="1:15">
      <c r="A169" t="s">
        <v>145</v>
      </c>
      <c r="B169" t="s">
        <v>24</v>
      </c>
      <c r="C169" s="5">
        <v>45677</v>
      </c>
      <c r="D169" t="s">
        <v>25</v>
      </c>
      <c r="E169" t="s">
        <v>26</v>
      </c>
      <c r="F169">
        <v>4619</v>
      </c>
      <c r="G169">
        <v>272</v>
      </c>
      <c r="H169">
        <v>57</v>
      </c>
      <c r="I169">
        <v>21334</v>
      </c>
      <c r="J169">
        <v>46292</v>
      </c>
      <c r="K169">
        <v>91</v>
      </c>
      <c r="L169" t="s">
        <v>41</v>
      </c>
      <c r="M169" t="s">
        <v>18</v>
      </c>
      <c r="N169" s="11">
        <f t="shared" si="4"/>
        <v>0.23193025217961938</v>
      </c>
      <c r="O169">
        <f t="shared" si="5"/>
        <v>452</v>
      </c>
    </row>
    <row r="170" spans="1:15">
      <c r="A170" t="s">
        <v>146</v>
      </c>
      <c r="B170" t="s">
        <v>24</v>
      </c>
      <c r="C170" s="5">
        <v>45670</v>
      </c>
      <c r="D170" t="s">
        <v>15</v>
      </c>
      <c r="E170" t="s">
        <v>31</v>
      </c>
      <c r="F170">
        <v>4090</v>
      </c>
      <c r="G170">
        <v>209</v>
      </c>
      <c r="H170">
        <v>278</v>
      </c>
      <c r="I170">
        <v>52853</v>
      </c>
      <c r="J170">
        <v>57084</v>
      </c>
      <c r="K170">
        <v>102</v>
      </c>
      <c r="L170" t="s">
        <v>44</v>
      </c>
      <c r="M170" t="s">
        <v>22</v>
      </c>
      <c r="N170" s="11">
        <f t="shared" si="4"/>
        <v>8.6598679355949518E-2</v>
      </c>
      <c r="O170">
        <f t="shared" si="5"/>
        <v>435</v>
      </c>
    </row>
    <row r="171" spans="1:15">
      <c r="A171" t="s">
        <v>147</v>
      </c>
      <c r="B171" t="s">
        <v>364</v>
      </c>
      <c r="C171" s="5">
        <v>45542</v>
      </c>
      <c r="D171" t="s">
        <v>56</v>
      </c>
      <c r="E171" t="s">
        <v>31</v>
      </c>
      <c r="F171">
        <v>3882</v>
      </c>
      <c r="G171">
        <v>342</v>
      </c>
      <c r="H171">
        <v>374</v>
      </c>
      <c r="I171">
        <v>41991</v>
      </c>
      <c r="J171">
        <v>48554</v>
      </c>
      <c r="K171">
        <v>118</v>
      </c>
      <c r="L171" t="s">
        <v>21</v>
      </c>
      <c r="M171" t="s">
        <v>58</v>
      </c>
      <c r="N171" s="11">
        <f t="shared" si="4"/>
        <v>0.10949965468790931</v>
      </c>
      <c r="O171">
        <f t="shared" si="5"/>
        <v>397</v>
      </c>
    </row>
    <row r="172" spans="1:15">
      <c r="A172" t="s">
        <v>147</v>
      </c>
      <c r="B172" t="s">
        <v>364</v>
      </c>
      <c r="C172" s="5">
        <v>45542</v>
      </c>
      <c r="D172" t="s">
        <v>56</v>
      </c>
      <c r="E172" t="s">
        <v>31</v>
      </c>
      <c r="F172">
        <v>3882</v>
      </c>
      <c r="G172">
        <v>342</v>
      </c>
      <c r="H172">
        <v>374</v>
      </c>
      <c r="I172">
        <v>41991</v>
      </c>
      <c r="J172">
        <v>48554</v>
      </c>
      <c r="K172">
        <v>118</v>
      </c>
      <c r="L172" t="s">
        <v>44</v>
      </c>
      <c r="M172" t="s">
        <v>58</v>
      </c>
      <c r="N172" s="11">
        <f t="shared" si="4"/>
        <v>0.10949965468790931</v>
      </c>
      <c r="O172">
        <f t="shared" si="5"/>
        <v>397</v>
      </c>
    </row>
    <row r="173" spans="1:15">
      <c r="A173" t="s">
        <v>148</v>
      </c>
      <c r="B173" t="s">
        <v>14</v>
      </c>
      <c r="C173" s="5">
        <v>45617</v>
      </c>
      <c r="D173" t="s">
        <v>15</v>
      </c>
      <c r="E173" t="s">
        <v>31</v>
      </c>
      <c r="F173">
        <v>4581</v>
      </c>
      <c r="G173">
        <v>181</v>
      </c>
      <c r="H173">
        <v>112</v>
      </c>
      <c r="I173">
        <v>35221</v>
      </c>
      <c r="J173">
        <v>28797</v>
      </c>
      <c r="K173">
        <v>164</v>
      </c>
      <c r="L173" t="s">
        <v>44</v>
      </c>
      <c r="M173" t="s">
        <v>18</v>
      </c>
      <c r="N173" s="11">
        <f t="shared" si="4"/>
        <v>0.13838335084182732</v>
      </c>
      <c r="O173">
        <f t="shared" si="5"/>
        <v>305</v>
      </c>
    </row>
    <row r="174" spans="1:15">
      <c r="A174" t="s">
        <v>148</v>
      </c>
      <c r="B174" t="s">
        <v>14</v>
      </c>
      <c r="C174" s="5">
        <v>45617</v>
      </c>
      <c r="D174" t="s">
        <v>15</v>
      </c>
      <c r="E174" t="s">
        <v>31</v>
      </c>
      <c r="F174">
        <v>4581</v>
      </c>
      <c r="G174">
        <v>181</v>
      </c>
      <c r="H174">
        <v>112</v>
      </c>
      <c r="I174">
        <v>35221</v>
      </c>
      <c r="J174">
        <v>28797</v>
      </c>
      <c r="K174">
        <v>164</v>
      </c>
      <c r="L174" t="s">
        <v>41</v>
      </c>
      <c r="M174" t="s">
        <v>18</v>
      </c>
      <c r="N174" s="11">
        <f t="shared" si="4"/>
        <v>0.13838335084182732</v>
      </c>
      <c r="O174">
        <f t="shared" si="5"/>
        <v>305</v>
      </c>
    </row>
    <row r="175" spans="1:15">
      <c r="A175" t="s">
        <v>149</v>
      </c>
      <c r="B175" t="s">
        <v>14</v>
      </c>
      <c r="C175" s="5">
        <v>45469</v>
      </c>
      <c r="D175" t="s">
        <v>15</v>
      </c>
      <c r="E175" t="s">
        <v>26</v>
      </c>
      <c r="F175">
        <v>3253</v>
      </c>
      <c r="G175">
        <v>483</v>
      </c>
      <c r="H175">
        <v>336</v>
      </c>
      <c r="I175">
        <v>25397</v>
      </c>
      <c r="J175">
        <v>51485</v>
      </c>
      <c r="K175">
        <v>131</v>
      </c>
      <c r="L175" t="s">
        <v>21</v>
      </c>
      <c r="M175" t="s">
        <v>22</v>
      </c>
      <c r="N175" s="11">
        <f t="shared" si="4"/>
        <v>0.16033389770445328</v>
      </c>
      <c r="O175">
        <f t="shared" si="5"/>
        <v>375</v>
      </c>
    </row>
    <row r="176" spans="1:15">
      <c r="A176" t="s">
        <v>150</v>
      </c>
      <c r="B176" t="s">
        <v>364</v>
      </c>
      <c r="C176" s="5">
        <v>45493</v>
      </c>
      <c r="D176" t="s">
        <v>56</v>
      </c>
      <c r="E176" t="s">
        <v>31</v>
      </c>
      <c r="F176">
        <v>4955</v>
      </c>
      <c r="G176">
        <v>299</v>
      </c>
      <c r="H176">
        <v>345</v>
      </c>
      <c r="I176">
        <v>33644</v>
      </c>
      <c r="J176">
        <v>43547</v>
      </c>
      <c r="K176">
        <v>194</v>
      </c>
      <c r="L176" t="s">
        <v>21</v>
      </c>
      <c r="M176" t="s">
        <v>58</v>
      </c>
      <c r="N176" s="11">
        <f t="shared" si="4"/>
        <v>0.16641897515158721</v>
      </c>
      <c r="O176">
        <f t="shared" si="5"/>
        <v>243</v>
      </c>
    </row>
    <row r="177" spans="1:15">
      <c r="A177" t="s">
        <v>150</v>
      </c>
      <c r="B177" t="s">
        <v>364</v>
      </c>
      <c r="C177" s="5">
        <v>45493</v>
      </c>
      <c r="D177" t="s">
        <v>56</v>
      </c>
      <c r="E177" t="s">
        <v>31</v>
      </c>
      <c r="F177">
        <v>4955</v>
      </c>
      <c r="G177">
        <v>299</v>
      </c>
      <c r="H177">
        <v>345</v>
      </c>
      <c r="I177">
        <v>33644</v>
      </c>
      <c r="J177">
        <v>43547</v>
      </c>
      <c r="K177">
        <v>194</v>
      </c>
      <c r="L177" t="s">
        <v>44</v>
      </c>
      <c r="M177" t="s">
        <v>58</v>
      </c>
      <c r="N177" s="11">
        <f t="shared" si="4"/>
        <v>0.16641897515158721</v>
      </c>
      <c r="O177">
        <f t="shared" si="5"/>
        <v>243</v>
      </c>
    </row>
    <row r="178" spans="1:15">
      <c r="A178" t="s">
        <v>151</v>
      </c>
      <c r="B178" t="s">
        <v>14</v>
      </c>
      <c r="C178" s="5">
        <v>45704</v>
      </c>
      <c r="D178" t="s">
        <v>15</v>
      </c>
      <c r="E178" t="s">
        <v>50</v>
      </c>
      <c r="F178">
        <v>1333</v>
      </c>
      <c r="G178">
        <v>286</v>
      </c>
      <c r="H178">
        <v>298</v>
      </c>
      <c r="I178">
        <v>36174</v>
      </c>
      <c r="J178">
        <v>34517</v>
      </c>
      <c r="K178">
        <v>170</v>
      </c>
      <c r="L178" t="s">
        <v>44</v>
      </c>
      <c r="M178" t="s">
        <v>18</v>
      </c>
      <c r="N178" s="11">
        <f t="shared" si="4"/>
        <v>5.2993862995521647E-2</v>
      </c>
      <c r="O178">
        <f t="shared" si="5"/>
        <v>295</v>
      </c>
    </row>
    <row r="179" spans="1:15">
      <c r="A179" t="s">
        <v>151</v>
      </c>
      <c r="B179" t="s">
        <v>14</v>
      </c>
      <c r="C179" s="5">
        <v>45704</v>
      </c>
      <c r="D179" t="s">
        <v>15</v>
      </c>
      <c r="E179" t="s">
        <v>50</v>
      </c>
      <c r="F179">
        <v>1333</v>
      </c>
      <c r="G179">
        <v>286</v>
      </c>
      <c r="H179">
        <v>298</v>
      </c>
      <c r="I179">
        <v>36174</v>
      </c>
      <c r="J179">
        <v>34517</v>
      </c>
      <c r="K179">
        <v>170</v>
      </c>
      <c r="L179" t="s">
        <v>41</v>
      </c>
      <c r="M179" t="s">
        <v>18</v>
      </c>
      <c r="N179" s="11">
        <f t="shared" si="4"/>
        <v>5.2993862995521647E-2</v>
      </c>
      <c r="O179">
        <f t="shared" si="5"/>
        <v>295</v>
      </c>
    </row>
    <row r="180" spans="1:15">
      <c r="A180" t="s">
        <v>152</v>
      </c>
      <c r="B180" t="s">
        <v>14</v>
      </c>
      <c r="C180" s="5">
        <v>45544</v>
      </c>
      <c r="D180" t="s">
        <v>15</v>
      </c>
      <c r="E180" t="s">
        <v>26</v>
      </c>
      <c r="F180">
        <v>1616</v>
      </c>
      <c r="G180">
        <v>360</v>
      </c>
      <c r="H180">
        <v>180</v>
      </c>
      <c r="I180">
        <v>54342</v>
      </c>
      <c r="J180">
        <v>18796</v>
      </c>
      <c r="K180">
        <v>282</v>
      </c>
      <c r="L180" t="s">
        <v>44</v>
      </c>
      <c r="M180" t="s">
        <v>18</v>
      </c>
      <c r="N180" s="11">
        <f t="shared" si="4"/>
        <v>3.9674653122814763E-2</v>
      </c>
      <c r="O180">
        <f t="shared" si="5"/>
        <v>38</v>
      </c>
    </row>
    <row r="181" spans="1:15">
      <c r="A181" t="s">
        <v>152</v>
      </c>
      <c r="B181" t="s">
        <v>14</v>
      </c>
      <c r="C181" s="5">
        <v>45544</v>
      </c>
      <c r="D181" t="s">
        <v>15</v>
      </c>
      <c r="E181" t="s">
        <v>26</v>
      </c>
      <c r="F181">
        <v>1616</v>
      </c>
      <c r="G181">
        <v>360</v>
      </c>
      <c r="H181">
        <v>180</v>
      </c>
      <c r="I181">
        <v>54342</v>
      </c>
      <c r="J181">
        <v>18796</v>
      </c>
      <c r="K181">
        <v>282</v>
      </c>
      <c r="L181" t="s">
        <v>41</v>
      </c>
      <c r="M181" t="s">
        <v>18</v>
      </c>
      <c r="N181" s="11">
        <f t="shared" si="4"/>
        <v>3.9674653122814763E-2</v>
      </c>
      <c r="O181">
        <f t="shared" si="5"/>
        <v>38</v>
      </c>
    </row>
    <row r="182" spans="1:15">
      <c r="A182" t="s">
        <v>153</v>
      </c>
      <c r="B182" t="s">
        <v>24</v>
      </c>
      <c r="C182" s="5">
        <v>45489</v>
      </c>
      <c r="D182" t="s">
        <v>15</v>
      </c>
      <c r="E182" t="s">
        <v>40</v>
      </c>
      <c r="F182">
        <v>1803</v>
      </c>
      <c r="G182">
        <v>273</v>
      </c>
      <c r="H182">
        <v>287</v>
      </c>
      <c r="I182">
        <v>46176</v>
      </c>
      <c r="J182">
        <v>25488</v>
      </c>
      <c r="K182">
        <v>141</v>
      </c>
      <c r="L182" t="s">
        <v>41</v>
      </c>
      <c r="M182" t="s">
        <v>18</v>
      </c>
      <c r="N182" s="11">
        <f t="shared" si="4"/>
        <v>5.1173769923769923E-2</v>
      </c>
      <c r="O182">
        <f t="shared" si="5"/>
        <v>356</v>
      </c>
    </row>
    <row r="183" spans="1:15">
      <c r="A183" t="s">
        <v>154</v>
      </c>
      <c r="B183" t="s">
        <v>14</v>
      </c>
      <c r="C183" s="5">
        <v>45762</v>
      </c>
      <c r="D183" t="s">
        <v>15</v>
      </c>
      <c r="E183" t="s">
        <v>20</v>
      </c>
      <c r="F183">
        <v>4177</v>
      </c>
      <c r="G183">
        <v>489</v>
      </c>
      <c r="H183">
        <v>331</v>
      </c>
      <c r="I183">
        <v>57451</v>
      </c>
      <c r="J183">
        <v>73793</v>
      </c>
      <c r="K183">
        <v>251</v>
      </c>
      <c r="L183" t="s">
        <v>21</v>
      </c>
      <c r="M183" t="s">
        <v>22</v>
      </c>
      <c r="N183" s="11">
        <f t="shared" si="4"/>
        <v>8.6978468608031198E-2</v>
      </c>
      <c r="O183">
        <f t="shared" si="5"/>
        <v>118</v>
      </c>
    </row>
    <row r="184" spans="1:15">
      <c r="A184" t="s">
        <v>155</v>
      </c>
      <c r="B184" t="s">
        <v>14</v>
      </c>
      <c r="C184" s="5">
        <v>45781</v>
      </c>
      <c r="D184" t="s">
        <v>25</v>
      </c>
      <c r="E184" t="s">
        <v>26</v>
      </c>
      <c r="F184">
        <v>1311</v>
      </c>
      <c r="G184">
        <v>181</v>
      </c>
      <c r="H184">
        <v>361</v>
      </c>
      <c r="I184">
        <v>37148</v>
      </c>
      <c r="J184">
        <v>44875</v>
      </c>
      <c r="K184">
        <v>245</v>
      </c>
      <c r="L184" t="s">
        <v>41</v>
      </c>
      <c r="M184" t="s">
        <v>54</v>
      </c>
      <c r="N184" s="11">
        <f t="shared" si="4"/>
        <v>4.9881554861634543E-2</v>
      </c>
      <c r="O184">
        <f t="shared" si="5"/>
        <v>124</v>
      </c>
    </row>
    <row r="185" spans="1:15">
      <c r="A185" t="s">
        <v>156</v>
      </c>
      <c r="B185" t="s">
        <v>14</v>
      </c>
      <c r="C185" s="5">
        <v>45340</v>
      </c>
      <c r="D185" t="s">
        <v>25</v>
      </c>
      <c r="E185" t="s">
        <v>48</v>
      </c>
      <c r="F185">
        <v>1516</v>
      </c>
      <c r="G185">
        <v>215</v>
      </c>
      <c r="H185">
        <v>332</v>
      </c>
      <c r="I185">
        <v>58981</v>
      </c>
      <c r="J185">
        <v>36118</v>
      </c>
      <c r="K185">
        <v>211</v>
      </c>
      <c r="L185" t="s">
        <v>41</v>
      </c>
      <c r="M185" t="s">
        <v>54</v>
      </c>
      <c r="N185" s="11">
        <f t="shared" si="4"/>
        <v>3.4977365592309385E-2</v>
      </c>
      <c r="O185">
        <f t="shared" si="5"/>
        <v>204</v>
      </c>
    </row>
    <row r="186" spans="1:15">
      <c r="A186" t="s">
        <v>157</v>
      </c>
      <c r="B186" t="s">
        <v>24</v>
      </c>
      <c r="C186" s="5">
        <v>45428</v>
      </c>
      <c r="D186" t="s">
        <v>25</v>
      </c>
      <c r="E186" t="s">
        <v>31</v>
      </c>
      <c r="F186">
        <v>2023</v>
      </c>
      <c r="G186">
        <v>124</v>
      </c>
      <c r="H186">
        <v>99</v>
      </c>
      <c r="I186">
        <v>54524</v>
      </c>
      <c r="J186">
        <v>34790</v>
      </c>
      <c r="K186">
        <v>195</v>
      </c>
      <c r="L186" t="s">
        <v>21</v>
      </c>
      <c r="M186" t="s">
        <v>18</v>
      </c>
      <c r="N186" s="11">
        <f t="shared" si="4"/>
        <v>4.1192869195216787E-2</v>
      </c>
      <c r="O186">
        <f t="shared" si="5"/>
        <v>239</v>
      </c>
    </row>
    <row r="187" spans="1:15">
      <c r="A187" t="s">
        <v>157</v>
      </c>
      <c r="B187" t="s">
        <v>24</v>
      </c>
      <c r="C187" s="5">
        <v>45428</v>
      </c>
      <c r="D187" t="s">
        <v>25</v>
      </c>
      <c r="E187" t="s">
        <v>31</v>
      </c>
      <c r="F187">
        <v>2023</v>
      </c>
      <c r="G187">
        <v>124</v>
      </c>
      <c r="H187">
        <v>99</v>
      </c>
      <c r="I187">
        <v>54524</v>
      </c>
      <c r="J187">
        <v>34790</v>
      </c>
      <c r="K187">
        <v>195</v>
      </c>
      <c r="L187" t="s">
        <v>365</v>
      </c>
      <c r="M187" t="s">
        <v>18</v>
      </c>
      <c r="N187" s="11">
        <f t="shared" si="4"/>
        <v>4.1192869195216787E-2</v>
      </c>
      <c r="O187">
        <f t="shared" si="5"/>
        <v>239</v>
      </c>
    </row>
    <row r="188" spans="1:15">
      <c r="A188" t="s">
        <v>158</v>
      </c>
      <c r="B188" t="s">
        <v>24</v>
      </c>
      <c r="C188" s="5">
        <v>45806</v>
      </c>
      <c r="D188" t="s">
        <v>25</v>
      </c>
      <c r="E188" t="s">
        <v>31</v>
      </c>
      <c r="F188">
        <v>2134</v>
      </c>
      <c r="G188">
        <v>322</v>
      </c>
      <c r="H188">
        <v>114</v>
      </c>
      <c r="I188">
        <v>44338</v>
      </c>
      <c r="J188">
        <v>52165</v>
      </c>
      <c r="K188">
        <v>176</v>
      </c>
      <c r="L188" t="s">
        <v>365</v>
      </c>
      <c r="M188" t="s">
        <v>18</v>
      </c>
      <c r="N188" s="11">
        <f t="shared" si="4"/>
        <v>5.7963823356939871E-2</v>
      </c>
      <c r="O188">
        <f t="shared" si="5"/>
        <v>272</v>
      </c>
    </row>
    <row r="189" spans="1:15">
      <c r="A189" t="s">
        <v>158</v>
      </c>
      <c r="B189" t="s">
        <v>24</v>
      </c>
      <c r="C189" s="5">
        <v>45806</v>
      </c>
      <c r="D189" t="s">
        <v>25</v>
      </c>
      <c r="E189" t="s">
        <v>31</v>
      </c>
      <c r="F189">
        <v>2134</v>
      </c>
      <c r="G189">
        <v>322</v>
      </c>
      <c r="H189">
        <v>114</v>
      </c>
      <c r="I189">
        <v>44338</v>
      </c>
      <c r="J189">
        <v>52165</v>
      </c>
      <c r="K189">
        <v>176</v>
      </c>
      <c r="L189" t="s">
        <v>41</v>
      </c>
      <c r="M189" t="s">
        <v>18</v>
      </c>
      <c r="N189" s="11">
        <f t="shared" si="4"/>
        <v>5.7963823356939871E-2</v>
      </c>
      <c r="O189">
        <f t="shared" si="5"/>
        <v>272</v>
      </c>
    </row>
    <row r="190" spans="1:15">
      <c r="A190" t="s">
        <v>159</v>
      </c>
      <c r="B190" t="s">
        <v>14</v>
      </c>
      <c r="C190" s="5">
        <v>45674</v>
      </c>
      <c r="D190" t="s">
        <v>15</v>
      </c>
      <c r="E190" t="s">
        <v>40</v>
      </c>
      <c r="F190">
        <v>2266</v>
      </c>
      <c r="G190">
        <v>126</v>
      </c>
      <c r="H190">
        <v>140</v>
      </c>
      <c r="I190">
        <v>53759</v>
      </c>
      <c r="J190">
        <v>46834</v>
      </c>
      <c r="K190">
        <v>277</v>
      </c>
      <c r="L190" t="s">
        <v>21</v>
      </c>
      <c r="M190" t="s">
        <v>22</v>
      </c>
      <c r="N190" s="11">
        <f t="shared" si="4"/>
        <v>4.7099090384865788E-2</v>
      </c>
      <c r="O190">
        <f t="shared" si="5"/>
        <v>48</v>
      </c>
    </row>
    <row r="191" spans="1:15">
      <c r="A191" t="s">
        <v>160</v>
      </c>
      <c r="B191" t="s">
        <v>14</v>
      </c>
      <c r="C191" s="5">
        <v>45777</v>
      </c>
      <c r="D191" t="s">
        <v>25</v>
      </c>
      <c r="E191" t="s">
        <v>26</v>
      </c>
      <c r="F191">
        <v>3916</v>
      </c>
      <c r="G191">
        <v>459</v>
      </c>
      <c r="H191">
        <v>229</v>
      </c>
      <c r="I191">
        <v>48989</v>
      </c>
      <c r="J191">
        <v>39768</v>
      </c>
      <c r="K191">
        <v>200</v>
      </c>
      <c r="L191" t="s">
        <v>41</v>
      </c>
      <c r="M191" t="s">
        <v>54</v>
      </c>
      <c r="N191" s="11">
        <f t="shared" si="4"/>
        <v>9.3980281287635997E-2</v>
      </c>
      <c r="O191">
        <f t="shared" si="5"/>
        <v>227</v>
      </c>
    </row>
    <row r="192" spans="1:15">
      <c r="A192" t="s">
        <v>161</v>
      </c>
      <c r="B192" t="s">
        <v>24</v>
      </c>
      <c r="C192" s="5">
        <v>45346</v>
      </c>
      <c r="D192" t="s">
        <v>25</v>
      </c>
      <c r="E192" t="s">
        <v>31</v>
      </c>
      <c r="F192">
        <v>1022</v>
      </c>
      <c r="G192">
        <v>463</v>
      </c>
      <c r="H192">
        <v>360</v>
      </c>
      <c r="I192">
        <v>51468</v>
      </c>
      <c r="J192">
        <v>24279</v>
      </c>
      <c r="K192">
        <v>230</v>
      </c>
      <c r="L192" t="s">
        <v>21</v>
      </c>
      <c r="M192" t="s">
        <v>18</v>
      </c>
      <c r="N192" s="11">
        <f t="shared" si="4"/>
        <v>3.5847516903707161E-2</v>
      </c>
      <c r="O192">
        <f t="shared" si="5"/>
        <v>155</v>
      </c>
    </row>
    <row r="193" spans="1:15">
      <c r="A193" t="s">
        <v>161</v>
      </c>
      <c r="B193" t="s">
        <v>24</v>
      </c>
      <c r="C193" s="5">
        <v>45346</v>
      </c>
      <c r="D193" t="s">
        <v>25</v>
      </c>
      <c r="E193" t="s">
        <v>31</v>
      </c>
      <c r="F193">
        <v>1022</v>
      </c>
      <c r="G193">
        <v>463</v>
      </c>
      <c r="H193">
        <v>360</v>
      </c>
      <c r="I193">
        <v>51468</v>
      </c>
      <c r="J193">
        <v>24279</v>
      </c>
      <c r="K193">
        <v>230</v>
      </c>
      <c r="L193" t="s">
        <v>365</v>
      </c>
      <c r="M193" t="s">
        <v>18</v>
      </c>
      <c r="N193" s="11">
        <f t="shared" si="4"/>
        <v>3.5847516903707161E-2</v>
      </c>
      <c r="O193">
        <f t="shared" si="5"/>
        <v>155</v>
      </c>
    </row>
    <row r="194" spans="1:15">
      <c r="A194" t="s">
        <v>162</v>
      </c>
      <c r="B194" t="s">
        <v>364</v>
      </c>
      <c r="C194" s="5">
        <v>45424</v>
      </c>
      <c r="D194" t="s">
        <v>15</v>
      </c>
      <c r="E194" t="s">
        <v>48</v>
      </c>
      <c r="F194">
        <v>2911</v>
      </c>
      <c r="G194">
        <v>467</v>
      </c>
      <c r="H194">
        <v>94</v>
      </c>
      <c r="I194">
        <v>59083</v>
      </c>
      <c r="J194">
        <v>49762</v>
      </c>
      <c r="K194">
        <v>236</v>
      </c>
      <c r="L194" t="s">
        <v>21</v>
      </c>
      <c r="M194" t="s">
        <v>22</v>
      </c>
      <c r="N194" s="11">
        <f t="shared" ref="N194:N257" si="6">(F194+G194+H194)/I194</f>
        <v>5.8764788517847777E-2</v>
      </c>
      <c r="O194">
        <f t="shared" ref="O194:O257" si="7">_xlfn.RANK.EQ(K194,K:K,0)</f>
        <v>138</v>
      </c>
    </row>
    <row r="195" spans="1:15">
      <c r="A195" t="s">
        <v>162</v>
      </c>
      <c r="B195" t="s">
        <v>364</v>
      </c>
      <c r="C195" s="5">
        <v>45424</v>
      </c>
      <c r="D195" t="s">
        <v>15</v>
      </c>
      <c r="E195" t="s">
        <v>48</v>
      </c>
      <c r="F195">
        <v>2911</v>
      </c>
      <c r="G195">
        <v>467</v>
      </c>
      <c r="H195">
        <v>94</v>
      </c>
      <c r="I195">
        <v>59083</v>
      </c>
      <c r="J195">
        <v>49762</v>
      </c>
      <c r="K195">
        <v>236</v>
      </c>
      <c r="L195" t="s">
        <v>366</v>
      </c>
      <c r="M195" t="s">
        <v>22</v>
      </c>
      <c r="N195" s="11">
        <f t="shared" si="6"/>
        <v>5.8764788517847777E-2</v>
      </c>
      <c r="O195">
        <f t="shared" si="7"/>
        <v>138</v>
      </c>
    </row>
    <row r="196" spans="1:15">
      <c r="A196" t="s">
        <v>163</v>
      </c>
      <c r="B196" t="s">
        <v>24</v>
      </c>
      <c r="C196" s="5">
        <v>45421</v>
      </c>
      <c r="D196" t="s">
        <v>25</v>
      </c>
      <c r="E196" t="s">
        <v>26</v>
      </c>
      <c r="F196">
        <v>3277</v>
      </c>
      <c r="G196">
        <v>423</v>
      </c>
      <c r="H196">
        <v>259</v>
      </c>
      <c r="I196">
        <v>46328</v>
      </c>
      <c r="J196">
        <v>44293</v>
      </c>
      <c r="K196">
        <v>299</v>
      </c>
      <c r="L196" t="s">
        <v>44</v>
      </c>
      <c r="M196" t="s">
        <v>18</v>
      </c>
      <c r="N196" s="11">
        <f t="shared" si="6"/>
        <v>8.5455879813503707E-2</v>
      </c>
      <c r="O196">
        <f t="shared" si="7"/>
        <v>1</v>
      </c>
    </row>
    <row r="197" spans="1:15">
      <c r="A197" t="s">
        <v>163</v>
      </c>
      <c r="B197" t="s">
        <v>24</v>
      </c>
      <c r="C197" s="5">
        <v>45421</v>
      </c>
      <c r="D197" t="s">
        <v>25</v>
      </c>
      <c r="E197" t="s">
        <v>26</v>
      </c>
      <c r="F197">
        <v>3277</v>
      </c>
      <c r="G197">
        <v>423</v>
      </c>
      <c r="H197">
        <v>259</v>
      </c>
      <c r="I197">
        <v>46328</v>
      </c>
      <c r="J197">
        <v>44293</v>
      </c>
      <c r="K197">
        <v>299</v>
      </c>
      <c r="L197" t="s">
        <v>41</v>
      </c>
      <c r="M197" t="s">
        <v>18</v>
      </c>
      <c r="N197" s="11">
        <f t="shared" si="6"/>
        <v>8.5455879813503707E-2</v>
      </c>
      <c r="O197">
        <f t="shared" si="7"/>
        <v>1</v>
      </c>
    </row>
    <row r="198" spans="1:15">
      <c r="A198" t="s">
        <v>164</v>
      </c>
      <c r="B198" t="s">
        <v>24</v>
      </c>
      <c r="C198" s="5">
        <v>45602</v>
      </c>
      <c r="D198" t="s">
        <v>15</v>
      </c>
      <c r="E198" t="s">
        <v>48</v>
      </c>
      <c r="F198">
        <v>2956</v>
      </c>
      <c r="G198">
        <v>381</v>
      </c>
      <c r="H198">
        <v>345</v>
      </c>
      <c r="I198">
        <v>33347</v>
      </c>
      <c r="J198">
        <v>22558</v>
      </c>
      <c r="K198">
        <v>173</v>
      </c>
      <c r="L198" t="s">
        <v>41</v>
      </c>
      <c r="M198" t="s">
        <v>18</v>
      </c>
      <c r="N198" s="11">
        <f t="shared" si="6"/>
        <v>0.11041472996071611</v>
      </c>
      <c r="O198">
        <f t="shared" si="7"/>
        <v>283</v>
      </c>
    </row>
    <row r="199" spans="1:15">
      <c r="A199" t="s">
        <v>165</v>
      </c>
      <c r="B199" t="s">
        <v>24</v>
      </c>
      <c r="C199" s="5">
        <v>45295</v>
      </c>
      <c r="D199" t="s">
        <v>25</v>
      </c>
      <c r="E199" t="s">
        <v>34</v>
      </c>
      <c r="F199">
        <v>3208</v>
      </c>
      <c r="G199">
        <v>476</v>
      </c>
      <c r="H199">
        <v>277</v>
      </c>
      <c r="I199">
        <v>56072</v>
      </c>
      <c r="J199">
        <v>21061</v>
      </c>
      <c r="K199">
        <v>113</v>
      </c>
      <c r="L199" t="s">
        <v>365</v>
      </c>
      <c r="M199" t="s">
        <v>18</v>
      </c>
      <c r="N199" s="11">
        <f t="shared" si="6"/>
        <v>7.064131830503638E-2</v>
      </c>
      <c r="O199">
        <f t="shared" si="7"/>
        <v>410</v>
      </c>
    </row>
    <row r="200" spans="1:15">
      <c r="A200" t="s">
        <v>165</v>
      </c>
      <c r="B200" t="s">
        <v>24</v>
      </c>
      <c r="C200" s="5">
        <v>45295</v>
      </c>
      <c r="D200" t="s">
        <v>25</v>
      </c>
      <c r="E200" t="s">
        <v>34</v>
      </c>
      <c r="F200">
        <v>3208</v>
      </c>
      <c r="G200">
        <v>476</v>
      </c>
      <c r="H200">
        <v>277</v>
      </c>
      <c r="I200">
        <v>56072</v>
      </c>
      <c r="J200">
        <v>21061</v>
      </c>
      <c r="K200">
        <v>113</v>
      </c>
      <c r="L200" t="s">
        <v>41</v>
      </c>
      <c r="M200" t="s">
        <v>18</v>
      </c>
      <c r="N200" s="11">
        <f t="shared" si="6"/>
        <v>7.064131830503638E-2</v>
      </c>
      <c r="O200">
        <f t="shared" si="7"/>
        <v>410</v>
      </c>
    </row>
    <row r="201" spans="1:15">
      <c r="A201" t="s">
        <v>166</v>
      </c>
      <c r="B201" t="s">
        <v>24</v>
      </c>
      <c r="C201" s="5">
        <v>45319</v>
      </c>
      <c r="D201" t="s">
        <v>15</v>
      </c>
      <c r="E201" t="s">
        <v>31</v>
      </c>
      <c r="F201">
        <v>1456</v>
      </c>
      <c r="G201">
        <v>265</v>
      </c>
      <c r="H201">
        <v>137</v>
      </c>
      <c r="I201">
        <v>53485</v>
      </c>
      <c r="J201">
        <v>59729</v>
      </c>
      <c r="K201">
        <v>145</v>
      </c>
      <c r="L201" t="s">
        <v>44</v>
      </c>
      <c r="M201" t="s">
        <v>22</v>
      </c>
      <c r="N201" s="11">
        <f t="shared" si="6"/>
        <v>3.4738711788351875E-2</v>
      </c>
      <c r="O201">
        <f t="shared" si="7"/>
        <v>352</v>
      </c>
    </row>
    <row r="202" spans="1:15">
      <c r="A202" t="s">
        <v>167</v>
      </c>
      <c r="B202" t="s">
        <v>14</v>
      </c>
      <c r="C202" s="5">
        <v>45344</v>
      </c>
      <c r="D202" t="s">
        <v>15</v>
      </c>
      <c r="E202" t="s">
        <v>26</v>
      </c>
      <c r="F202">
        <v>1902</v>
      </c>
      <c r="G202">
        <v>394</v>
      </c>
      <c r="H202">
        <v>279</v>
      </c>
      <c r="I202">
        <v>24615</v>
      </c>
      <c r="J202">
        <v>51330</v>
      </c>
      <c r="K202">
        <v>176</v>
      </c>
      <c r="L202" t="s">
        <v>44</v>
      </c>
      <c r="M202" t="s">
        <v>18</v>
      </c>
      <c r="N202" s="11">
        <f t="shared" si="6"/>
        <v>0.10461100954702417</v>
      </c>
      <c r="O202">
        <f t="shared" si="7"/>
        <v>272</v>
      </c>
    </row>
    <row r="203" spans="1:15">
      <c r="A203" t="s">
        <v>167</v>
      </c>
      <c r="B203" t="s">
        <v>14</v>
      </c>
      <c r="C203" s="5">
        <v>45344</v>
      </c>
      <c r="D203" t="s">
        <v>15</v>
      </c>
      <c r="E203" t="s">
        <v>26</v>
      </c>
      <c r="F203">
        <v>1902</v>
      </c>
      <c r="G203">
        <v>394</v>
      </c>
      <c r="H203">
        <v>279</v>
      </c>
      <c r="I203">
        <v>24615</v>
      </c>
      <c r="J203">
        <v>51330</v>
      </c>
      <c r="K203">
        <v>176</v>
      </c>
      <c r="L203" t="s">
        <v>41</v>
      </c>
      <c r="M203" t="s">
        <v>18</v>
      </c>
      <c r="N203" s="11">
        <f t="shared" si="6"/>
        <v>0.10461100954702417</v>
      </c>
      <c r="O203">
        <f t="shared" si="7"/>
        <v>272</v>
      </c>
    </row>
    <row r="204" spans="1:15">
      <c r="A204" t="s">
        <v>168</v>
      </c>
      <c r="B204" t="s">
        <v>24</v>
      </c>
      <c r="C204" s="5">
        <v>45839</v>
      </c>
      <c r="D204" t="s">
        <v>25</v>
      </c>
      <c r="E204" t="s">
        <v>20</v>
      </c>
      <c r="F204">
        <v>3219</v>
      </c>
      <c r="G204">
        <v>424</v>
      </c>
      <c r="H204">
        <v>267</v>
      </c>
      <c r="I204">
        <v>48879</v>
      </c>
      <c r="J204">
        <v>37691</v>
      </c>
      <c r="K204">
        <v>224</v>
      </c>
      <c r="L204" t="s">
        <v>21</v>
      </c>
      <c r="M204" t="s">
        <v>18</v>
      </c>
      <c r="N204" s="11">
        <f t="shared" si="6"/>
        <v>7.9993453221219743E-2</v>
      </c>
      <c r="O204">
        <f t="shared" si="7"/>
        <v>169</v>
      </c>
    </row>
    <row r="205" spans="1:15">
      <c r="A205" t="s">
        <v>168</v>
      </c>
      <c r="B205" t="s">
        <v>24</v>
      </c>
      <c r="C205" s="5">
        <v>45839</v>
      </c>
      <c r="D205" t="s">
        <v>25</v>
      </c>
      <c r="E205" t="s">
        <v>20</v>
      </c>
      <c r="F205">
        <v>3219</v>
      </c>
      <c r="G205">
        <v>424</v>
      </c>
      <c r="H205">
        <v>267</v>
      </c>
      <c r="I205">
        <v>48879</v>
      </c>
      <c r="J205">
        <v>37691</v>
      </c>
      <c r="K205">
        <v>224</v>
      </c>
      <c r="L205" t="s">
        <v>365</v>
      </c>
      <c r="M205" t="s">
        <v>18</v>
      </c>
      <c r="N205" s="11">
        <f t="shared" si="6"/>
        <v>7.9993453221219743E-2</v>
      </c>
      <c r="O205">
        <f t="shared" si="7"/>
        <v>169</v>
      </c>
    </row>
    <row r="206" spans="1:15">
      <c r="A206" t="s">
        <v>169</v>
      </c>
      <c r="B206" t="s">
        <v>364</v>
      </c>
      <c r="C206" s="5">
        <v>45301</v>
      </c>
      <c r="D206" t="s">
        <v>15</v>
      </c>
      <c r="E206" t="s">
        <v>20</v>
      </c>
      <c r="F206">
        <v>1261</v>
      </c>
      <c r="G206">
        <v>190</v>
      </c>
      <c r="H206">
        <v>233</v>
      </c>
      <c r="I206">
        <v>59888</v>
      </c>
      <c r="J206">
        <v>51449</v>
      </c>
      <c r="K206">
        <v>205</v>
      </c>
      <c r="L206" t="s">
        <v>21</v>
      </c>
      <c r="M206" t="s">
        <v>22</v>
      </c>
      <c r="N206" s="11">
        <f t="shared" si="6"/>
        <v>2.811915575741384E-2</v>
      </c>
      <c r="O206">
        <f t="shared" si="7"/>
        <v>214</v>
      </c>
    </row>
    <row r="207" spans="1:15">
      <c r="A207" t="s">
        <v>169</v>
      </c>
      <c r="B207" t="s">
        <v>364</v>
      </c>
      <c r="C207" s="5">
        <v>45301</v>
      </c>
      <c r="D207" t="s">
        <v>15</v>
      </c>
      <c r="E207" t="s">
        <v>20</v>
      </c>
      <c r="F207">
        <v>1261</v>
      </c>
      <c r="G207">
        <v>190</v>
      </c>
      <c r="H207">
        <v>233</v>
      </c>
      <c r="I207">
        <v>59888</v>
      </c>
      <c r="J207">
        <v>51449</v>
      </c>
      <c r="K207">
        <v>205</v>
      </c>
      <c r="L207" t="s">
        <v>366</v>
      </c>
      <c r="M207" t="s">
        <v>22</v>
      </c>
      <c r="N207" s="11">
        <f t="shared" si="6"/>
        <v>2.811915575741384E-2</v>
      </c>
      <c r="O207">
        <f t="shared" si="7"/>
        <v>214</v>
      </c>
    </row>
    <row r="208" spans="1:15">
      <c r="A208" t="s">
        <v>170</v>
      </c>
      <c r="B208" t="s">
        <v>24</v>
      </c>
      <c r="C208" s="5">
        <v>45736</v>
      </c>
      <c r="D208" t="s">
        <v>15</v>
      </c>
      <c r="E208" t="s">
        <v>50</v>
      </c>
      <c r="F208">
        <v>1564</v>
      </c>
      <c r="G208">
        <v>362</v>
      </c>
      <c r="H208">
        <v>371</v>
      </c>
      <c r="I208">
        <v>42075</v>
      </c>
      <c r="J208">
        <v>66659</v>
      </c>
      <c r="K208">
        <v>205</v>
      </c>
      <c r="L208" t="s">
        <v>44</v>
      </c>
      <c r="M208" t="s">
        <v>22</v>
      </c>
      <c r="N208" s="11">
        <f t="shared" si="6"/>
        <v>5.4592988710635768E-2</v>
      </c>
      <c r="O208">
        <f t="shared" si="7"/>
        <v>214</v>
      </c>
    </row>
    <row r="209" spans="1:15">
      <c r="A209" t="s">
        <v>171</v>
      </c>
      <c r="B209" t="s">
        <v>24</v>
      </c>
      <c r="C209" s="5">
        <v>45563</v>
      </c>
      <c r="D209" t="s">
        <v>15</v>
      </c>
      <c r="E209" t="s">
        <v>34</v>
      </c>
      <c r="F209">
        <v>4006</v>
      </c>
      <c r="G209">
        <v>420</v>
      </c>
      <c r="H209">
        <v>194</v>
      </c>
      <c r="I209">
        <v>49964</v>
      </c>
      <c r="J209">
        <v>20685</v>
      </c>
      <c r="K209">
        <v>148</v>
      </c>
      <c r="L209" t="s">
        <v>41</v>
      </c>
      <c r="M209" t="s">
        <v>18</v>
      </c>
      <c r="N209" s="11">
        <f t="shared" si="6"/>
        <v>9.2466575934672959E-2</v>
      </c>
      <c r="O209">
        <f t="shared" si="7"/>
        <v>344</v>
      </c>
    </row>
    <row r="210" spans="1:15">
      <c r="A210" t="s">
        <v>172</v>
      </c>
      <c r="B210" t="s">
        <v>364</v>
      </c>
      <c r="C210" s="5">
        <v>45318</v>
      </c>
      <c r="D210" t="s">
        <v>15</v>
      </c>
      <c r="E210" t="s">
        <v>50</v>
      </c>
      <c r="F210">
        <v>1976</v>
      </c>
      <c r="G210">
        <v>262</v>
      </c>
      <c r="H210">
        <v>218</v>
      </c>
      <c r="I210">
        <v>51696</v>
      </c>
      <c r="J210">
        <v>44846</v>
      </c>
      <c r="K210">
        <v>139</v>
      </c>
      <c r="L210" t="s">
        <v>21</v>
      </c>
      <c r="M210" t="s">
        <v>22</v>
      </c>
      <c r="N210" s="11">
        <f t="shared" si="6"/>
        <v>4.7508511296812134E-2</v>
      </c>
      <c r="O210">
        <f t="shared" si="7"/>
        <v>357</v>
      </c>
    </row>
    <row r="211" spans="1:15">
      <c r="A211" t="s">
        <v>172</v>
      </c>
      <c r="B211" t="s">
        <v>364</v>
      </c>
      <c r="C211" s="5">
        <v>45318</v>
      </c>
      <c r="D211" t="s">
        <v>15</v>
      </c>
      <c r="E211" t="s">
        <v>50</v>
      </c>
      <c r="F211">
        <v>1976</v>
      </c>
      <c r="G211">
        <v>262</v>
      </c>
      <c r="H211">
        <v>218</v>
      </c>
      <c r="I211">
        <v>51696</v>
      </c>
      <c r="J211">
        <v>44846</v>
      </c>
      <c r="K211">
        <v>139</v>
      </c>
      <c r="L211" t="s">
        <v>366</v>
      </c>
      <c r="M211" t="s">
        <v>22</v>
      </c>
      <c r="N211" s="11">
        <f t="shared" si="6"/>
        <v>4.7508511296812134E-2</v>
      </c>
      <c r="O211">
        <f t="shared" si="7"/>
        <v>357</v>
      </c>
    </row>
    <row r="212" spans="1:15">
      <c r="A212" t="s">
        <v>173</v>
      </c>
      <c r="B212" t="s">
        <v>24</v>
      </c>
      <c r="C212" s="5">
        <v>45792</v>
      </c>
      <c r="D212" t="s">
        <v>15</v>
      </c>
      <c r="E212" t="s">
        <v>26</v>
      </c>
      <c r="F212">
        <v>1583</v>
      </c>
      <c r="G212">
        <v>433</v>
      </c>
      <c r="H212">
        <v>249</v>
      </c>
      <c r="I212">
        <v>30256</v>
      </c>
      <c r="J212">
        <v>47066</v>
      </c>
      <c r="K212">
        <v>196</v>
      </c>
      <c r="L212" t="s">
        <v>41</v>
      </c>
      <c r="M212" t="s">
        <v>18</v>
      </c>
      <c r="N212" s="11">
        <f t="shared" si="6"/>
        <v>7.4861184558434685E-2</v>
      </c>
      <c r="O212">
        <f t="shared" si="7"/>
        <v>237</v>
      </c>
    </row>
    <row r="213" spans="1:15">
      <c r="A213" t="s">
        <v>174</v>
      </c>
      <c r="B213" t="s">
        <v>24</v>
      </c>
      <c r="C213" s="5">
        <v>45569</v>
      </c>
      <c r="D213" t="s">
        <v>25</v>
      </c>
      <c r="E213" t="s">
        <v>20</v>
      </c>
      <c r="F213">
        <v>2870</v>
      </c>
      <c r="G213">
        <v>380</v>
      </c>
      <c r="H213">
        <v>393</v>
      </c>
      <c r="I213">
        <v>37621</v>
      </c>
      <c r="J213">
        <v>71794</v>
      </c>
      <c r="K213">
        <v>127</v>
      </c>
      <c r="L213" t="s">
        <v>365</v>
      </c>
      <c r="M213" t="s">
        <v>18</v>
      </c>
      <c r="N213" s="11">
        <f t="shared" si="6"/>
        <v>9.6834214933149046E-2</v>
      </c>
      <c r="O213">
        <f t="shared" si="7"/>
        <v>382</v>
      </c>
    </row>
    <row r="214" spans="1:15">
      <c r="A214" t="s">
        <v>174</v>
      </c>
      <c r="B214" t="s">
        <v>24</v>
      </c>
      <c r="C214" s="5">
        <v>45569</v>
      </c>
      <c r="D214" t="s">
        <v>25</v>
      </c>
      <c r="E214" t="s">
        <v>20</v>
      </c>
      <c r="F214">
        <v>2870</v>
      </c>
      <c r="G214">
        <v>380</v>
      </c>
      <c r="H214">
        <v>393</v>
      </c>
      <c r="I214">
        <v>37621</v>
      </c>
      <c r="J214">
        <v>71794</v>
      </c>
      <c r="K214">
        <v>127</v>
      </c>
      <c r="L214" t="s">
        <v>41</v>
      </c>
      <c r="M214" t="s">
        <v>18</v>
      </c>
      <c r="N214" s="11">
        <f t="shared" si="6"/>
        <v>9.6834214933149046E-2</v>
      </c>
      <c r="O214">
        <f t="shared" si="7"/>
        <v>382</v>
      </c>
    </row>
    <row r="215" spans="1:15">
      <c r="A215" t="s">
        <v>175</v>
      </c>
      <c r="B215" t="s">
        <v>24</v>
      </c>
      <c r="C215" s="5">
        <v>45615</v>
      </c>
      <c r="D215" t="s">
        <v>15</v>
      </c>
      <c r="E215" t="s">
        <v>40</v>
      </c>
      <c r="F215">
        <v>3728</v>
      </c>
      <c r="G215">
        <v>271</v>
      </c>
      <c r="H215">
        <v>275</v>
      </c>
      <c r="I215">
        <v>22827</v>
      </c>
      <c r="J215">
        <v>37034</v>
      </c>
      <c r="K215">
        <v>199</v>
      </c>
      <c r="L215" t="s">
        <v>41</v>
      </c>
      <c r="M215" t="s">
        <v>18</v>
      </c>
      <c r="N215" s="11">
        <f t="shared" si="6"/>
        <v>0.18723441538528934</v>
      </c>
      <c r="O215">
        <f t="shared" si="7"/>
        <v>230</v>
      </c>
    </row>
    <row r="216" spans="1:15">
      <c r="A216" t="s">
        <v>176</v>
      </c>
      <c r="B216" t="s">
        <v>24</v>
      </c>
      <c r="C216" s="5">
        <v>45387</v>
      </c>
      <c r="D216" t="s">
        <v>25</v>
      </c>
      <c r="E216" t="s">
        <v>26</v>
      </c>
      <c r="F216">
        <v>4965</v>
      </c>
      <c r="G216">
        <v>175</v>
      </c>
      <c r="H216">
        <v>307</v>
      </c>
      <c r="I216">
        <v>32793</v>
      </c>
      <c r="J216">
        <v>43412</v>
      </c>
      <c r="K216">
        <v>296</v>
      </c>
      <c r="L216" t="s">
        <v>44</v>
      </c>
      <c r="M216" t="s">
        <v>18</v>
      </c>
      <c r="N216" s="11">
        <f t="shared" si="6"/>
        <v>0.16610252187966945</v>
      </c>
      <c r="O216">
        <f t="shared" si="7"/>
        <v>9</v>
      </c>
    </row>
    <row r="217" spans="1:15">
      <c r="A217" t="s">
        <v>176</v>
      </c>
      <c r="B217" t="s">
        <v>24</v>
      </c>
      <c r="C217" s="5">
        <v>45387</v>
      </c>
      <c r="D217" t="s">
        <v>25</v>
      </c>
      <c r="E217" t="s">
        <v>26</v>
      </c>
      <c r="F217">
        <v>4965</v>
      </c>
      <c r="G217">
        <v>175</v>
      </c>
      <c r="H217">
        <v>307</v>
      </c>
      <c r="I217">
        <v>32793</v>
      </c>
      <c r="J217">
        <v>43412</v>
      </c>
      <c r="K217">
        <v>296</v>
      </c>
      <c r="L217" t="s">
        <v>41</v>
      </c>
      <c r="M217" t="s">
        <v>18</v>
      </c>
      <c r="N217" s="11">
        <f t="shared" si="6"/>
        <v>0.16610252187966945</v>
      </c>
      <c r="O217">
        <f t="shared" si="7"/>
        <v>9</v>
      </c>
    </row>
    <row r="218" spans="1:15">
      <c r="A218" t="s">
        <v>177</v>
      </c>
      <c r="B218" t="s">
        <v>24</v>
      </c>
      <c r="C218" s="5">
        <v>45624</v>
      </c>
      <c r="D218" t="s">
        <v>25</v>
      </c>
      <c r="E218" t="s">
        <v>26</v>
      </c>
      <c r="F218">
        <v>1131</v>
      </c>
      <c r="G218">
        <v>100</v>
      </c>
      <c r="H218">
        <v>116</v>
      </c>
      <c r="I218">
        <v>48437</v>
      </c>
      <c r="J218">
        <v>72704</v>
      </c>
      <c r="K218">
        <v>236</v>
      </c>
      <c r="L218" t="s">
        <v>21</v>
      </c>
      <c r="M218" t="s">
        <v>18</v>
      </c>
      <c r="N218" s="11">
        <f t="shared" si="6"/>
        <v>2.7809319322005904E-2</v>
      </c>
      <c r="O218">
        <f t="shared" si="7"/>
        <v>138</v>
      </c>
    </row>
    <row r="219" spans="1:15">
      <c r="A219" t="s">
        <v>177</v>
      </c>
      <c r="B219" t="s">
        <v>24</v>
      </c>
      <c r="C219" s="5">
        <v>45624</v>
      </c>
      <c r="D219" t="s">
        <v>25</v>
      </c>
      <c r="E219" t="s">
        <v>26</v>
      </c>
      <c r="F219">
        <v>1131</v>
      </c>
      <c r="G219">
        <v>100</v>
      </c>
      <c r="H219">
        <v>116</v>
      </c>
      <c r="I219">
        <v>48437</v>
      </c>
      <c r="J219">
        <v>72704</v>
      </c>
      <c r="K219">
        <v>236</v>
      </c>
      <c r="L219" t="s">
        <v>365</v>
      </c>
      <c r="M219" t="s">
        <v>18</v>
      </c>
      <c r="N219" s="11">
        <f t="shared" si="6"/>
        <v>2.7809319322005904E-2</v>
      </c>
      <c r="O219">
        <f t="shared" si="7"/>
        <v>138</v>
      </c>
    </row>
    <row r="220" spans="1:15">
      <c r="A220" t="s">
        <v>178</v>
      </c>
      <c r="B220" t="s">
        <v>24</v>
      </c>
      <c r="C220" s="5">
        <v>45725</v>
      </c>
      <c r="D220" t="s">
        <v>15</v>
      </c>
      <c r="E220" t="s">
        <v>50</v>
      </c>
      <c r="F220">
        <v>2754</v>
      </c>
      <c r="G220">
        <v>215</v>
      </c>
      <c r="H220">
        <v>264</v>
      </c>
      <c r="I220">
        <v>27762</v>
      </c>
      <c r="J220">
        <v>70203</v>
      </c>
      <c r="K220">
        <v>289</v>
      </c>
      <c r="L220" t="s">
        <v>41</v>
      </c>
      <c r="M220" t="s">
        <v>18</v>
      </c>
      <c r="N220" s="11">
        <f t="shared" si="6"/>
        <v>0.11645414595490239</v>
      </c>
      <c r="O220">
        <f t="shared" si="7"/>
        <v>25</v>
      </c>
    </row>
    <row r="221" spans="1:15">
      <c r="A221" t="s">
        <v>179</v>
      </c>
      <c r="B221" t="s">
        <v>24</v>
      </c>
      <c r="C221" s="5">
        <v>45531</v>
      </c>
      <c r="D221" t="s">
        <v>25</v>
      </c>
      <c r="E221" t="s">
        <v>26</v>
      </c>
      <c r="F221">
        <v>1856</v>
      </c>
      <c r="G221">
        <v>357</v>
      </c>
      <c r="H221">
        <v>348</v>
      </c>
      <c r="I221">
        <v>29428</v>
      </c>
      <c r="J221">
        <v>70206</v>
      </c>
      <c r="K221">
        <v>236</v>
      </c>
      <c r="L221" t="s">
        <v>365</v>
      </c>
      <c r="M221" t="s">
        <v>18</v>
      </c>
      <c r="N221" s="11">
        <f t="shared" si="6"/>
        <v>8.702596166915863E-2</v>
      </c>
      <c r="O221">
        <f t="shared" si="7"/>
        <v>138</v>
      </c>
    </row>
    <row r="222" spans="1:15">
      <c r="A222" t="s">
        <v>179</v>
      </c>
      <c r="B222" t="s">
        <v>24</v>
      </c>
      <c r="C222" s="5">
        <v>45531</v>
      </c>
      <c r="D222" t="s">
        <v>25</v>
      </c>
      <c r="E222" t="s">
        <v>26</v>
      </c>
      <c r="F222">
        <v>1856</v>
      </c>
      <c r="G222">
        <v>357</v>
      </c>
      <c r="H222">
        <v>348</v>
      </c>
      <c r="I222">
        <v>29428</v>
      </c>
      <c r="J222">
        <v>70206</v>
      </c>
      <c r="K222">
        <v>236</v>
      </c>
      <c r="L222" t="s">
        <v>41</v>
      </c>
      <c r="M222" t="s">
        <v>18</v>
      </c>
      <c r="N222" s="11">
        <f t="shared" si="6"/>
        <v>8.702596166915863E-2</v>
      </c>
      <c r="O222">
        <f t="shared" si="7"/>
        <v>138</v>
      </c>
    </row>
    <row r="223" spans="1:15">
      <c r="A223" t="s">
        <v>180</v>
      </c>
      <c r="B223" t="s">
        <v>364</v>
      </c>
      <c r="C223" s="5">
        <v>45566</v>
      </c>
      <c r="D223" t="s">
        <v>56</v>
      </c>
      <c r="E223" t="s">
        <v>20</v>
      </c>
      <c r="F223">
        <v>3543</v>
      </c>
      <c r="G223">
        <v>334</v>
      </c>
      <c r="H223">
        <v>218</v>
      </c>
      <c r="I223">
        <v>58007</v>
      </c>
      <c r="J223">
        <v>24792</v>
      </c>
      <c r="K223">
        <v>273</v>
      </c>
      <c r="L223" t="s">
        <v>21</v>
      </c>
      <c r="M223" t="s">
        <v>58</v>
      </c>
      <c r="N223" s="11">
        <f t="shared" si="6"/>
        <v>7.0594928198320889E-2</v>
      </c>
      <c r="O223">
        <f t="shared" si="7"/>
        <v>62</v>
      </c>
    </row>
    <row r="224" spans="1:15">
      <c r="A224" t="s">
        <v>180</v>
      </c>
      <c r="B224" t="s">
        <v>364</v>
      </c>
      <c r="C224" s="5">
        <v>45566</v>
      </c>
      <c r="D224" t="s">
        <v>56</v>
      </c>
      <c r="E224" t="s">
        <v>20</v>
      </c>
      <c r="F224">
        <v>3543</v>
      </c>
      <c r="G224">
        <v>334</v>
      </c>
      <c r="H224">
        <v>218</v>
      </c>
      <c r="I224">
        <v>58007</v>
      </c>
      <c r="J224">
        <v>24792</v>
      </c>
      <c r="K224">
        <v>273</v>
      </c>
      <c r="L224" t="s">
        <v>44</v>
      </c>
      <c r="M224" t="s">
        <v>58</v>
      </c>
      <c r="N224" s="11">
        <f t="shared" si="6"/>
        <v>7.0594928198320889E-2</v>
      </c>
      <c r="O224">
        <f t="shared" si="7"/>
        <v>62</v>
      </c>
    </row>
    <row r="225" spans="1:15">
      <c r="A225" t="s">
        <v>181</v>
      </c>
      <c r="B225" t="s">
        <v>14</v>
      </c>
      <c r="C225" s="5">
        <v>45647</v>
      </c>
      <c r="D225" t="s">
        <v>25</v>
      </c>
      <c r="E225" t="s">
        <v>26</v>
      </c>
      <c r="F225">
        <v>4563</v>
      </c>
      <c r="G225">
        <v>398</v>
      </c>
      <c r="H225">
        <v>163</v>
      </c>
      <c r="I225">
        <v>43679</v>
      </c>
      <c r="J225">
        <v>48760</v>
      </c>
      <c r="K225">
        <v>92</v>
      </c>
      <c r="L225" t="s">
        <v>41</v>
      </c>
      <c r="M225" t="s">
        <v>54</v>
      </c>
      <c r="N225" s="11">
        <f t="shared" si="6"/>
        <v>0.11731037798484398</v>
      </c>
      <c r="O225">
        <f t="shared" si="7"/>
        <v>449</v>
      </c>
    </row>
    <row r="226" spans="1:15">
      <c r="A226" t="s">
        <v>182</v>
      </c>
      <c r="B226" t="s">
        <v>14</v>
      </c>
      <c r="C226" s="5">
        <v>45460</v>
      </c>
      <c r="D226" t="s">
        <v>15</v>
      </c>
      <c r="E226" t="s">
        <v>16</v>
      </c>
      <c r="F226">
        <v>4283</v>
      </c>
      <c r="G226">
        <v>471</v>
      </c>
      <c r="H226">
        <v>156</v>
      </c>
      <c r="I226">
        <v>53004</v>
      </c>
      <c r="J226">
        <v>25678</v>
      </c>
      <c r="K226">
        <v>105</v>
      </c>
      <c r="L226" t="s">
        <v>21</v>
      </c>
      <c r="M226" t="s">
        <v>22</v>
      </c>
      <c r="N226" s="11">
        <f t="shared" si="6"/>
        <v>9.2634518149573616E-2</v>
      </c>
      <c r="O226">
        <f t="shared" si="7"/>
        <v>428</v>
      </c>
    </row>
    <row r="227" spans="1:15">
      <c r="A227" t="s">
        <v>183</v>
      </c>
      <c r="B227" t="s">
        <v>14</v>
      </c>
      <c r="C227" s="5">
        <v>45702</v>
      </c>
      <c r="D227" t="s">
        <v>15</v>
      </c>
      <c r="E227" t="s">
        <v>16</v>
      </c>
      <c r="F227">
        <v>2329</v>
      </c>
      <c r="G227">
        <v>373</v>
      </c>
      <c r="H227">
        <v>291</v>
      </c>
      <c r="I227">
        <v>49577</v>
      </c>
      <c r="J227">
        <v>28002</v>
      </c>
      <c r="K227">
        <v>82</v>
      </c>
      <c r="L227" t="s">
        <v>44</v>
      </c>
      <c r="M227" t="s">
        <v>18</v>
      </c>
      <c r="N227" s="11">
        <f t="shared" si="6"/>
        <v>6.0370736430199488E-2</v>
      </c>
      <c r="O227">
        <f t="shared" si="7"/>
        <v>477</v>
      </c>
    </row>
    <row r="228" spans="1:15">
      <c r="A228" t="s">
        <v>183</v>
      </c>
      <c r="B228" t="s">
        <v>14</v>
      </c>
      <c r="C228" s="5">
        <v>45702</v>
      </c>
      <c r="D228" t="s">
        <v>15</v>
      </c>
      <c r="E228" t="s">
        <v>16</v>
      </c>
      <c r="F228">
        <v>2329</v>
      </c>
      <c r="G228">
        <v>373</v>
      </c>
      <c r="H228">
        <v>291</v>
      </c>
      <c r="I228">
        <v>49577</v>
      </c>
      <c r="J228">
        <v>28002</v>
      </c>
      <c r="K228">
        <v>82</v>
      </c>
      <c r="L228" t="s">
        <v>41</v>
      </c>
      <c r="M228" t="s">
        <v>18</v>
      </c>
      <c r="N228" s="11">
        <f t="shared" si="6"/>
        <v>6.0370736430199488E-2</v>
      </c>
      <c r="O228">
        <f t="shared" si="7"/>
        <v>477</v>
      </c>
    </row>
    <row r="229" spans="1:15">
      <c r="A229" t="s">
        <v>184</v>
      </c>
      <c r="B229" t="s">
        <v>24</v>
      </c>
      <c r="C229" s="5">
        <v>45805</v>
      </c>
      <c r="D229" t="s">
        <v>25</v>
      </c>
      <c r="E229" t="s">
        <v>40</v>
      </c>
      <c r="F229">
        <v>4287</v>
      </c>
      <c r="G229">
        <v>273</v>
      </c>
      <c r="H229">
        <v>122</v>
      </c>
      <c r="I229">
        <v>40792</v>
      </c>
      <c r="J229">
        <v>23878</v>
      </c>
      <c r="K229">
        <v>277</v>
      </c>
      <c r="L229" t="s">
        <v>365</v>
      </c>
      <c r="M229" t="s">
        <v>18</v>
      </c>
      <c r="N229" s="11">
        <f t="shared" si="6"/>
        <v>0.11477740733477153</v>
      </c>
      <c r="O229">
        <f t="shared" si="7"/>
        <v>48</v>
      </c>
    </row>
    <row r="230" spans="1:15">
      <c r="A230" t="s">
        <v>184</v>
      </c>
      <c r="B230" t="s">
        <v>24</v>
      </c>
      <c r="C230" s="5">
        <v>45805</v>
      </c>
      <c r="D230" t="s">
        <v>25</v>
      </c>
      <c r="E230" t="s">
        <v>40</v>
      </c>
      <c r="F230">
        <v>4287</v>
      </c>
      <c r="G230">
        <v>273</v>
      </c>
      <c r="H230">
        <v>122</v>
      </c>
      <c r="I230">
        <v>40792</v>
      </c>
      <c r="J230">
        <v>23878</v>
      </c>
      <c r="K230">
        <v>277</v>
      </c>
      <c r="L230" t="s">
        <v>41</v>
      </c>
      <c r="M230" t="s">
        <v>18</v>
      </c>
      <c r="N230" s="11">
        <f t="shared" si="6"/>
        <v>0.11477740733477153</v>
      </c>
      <c r="O230">
        <f t="shared" si="7"/>
        <v>48</v>
      </c>
    </row>
    <row r="231" spans="1:15">
      <c r="A231" t="s">
        <v>185</v>
      </c>
      <c r="B231" t="s">
        <v>14</v>
      </c>
      <c r="C231" s="5">
        <v>45799</v>
      </c>
      <c r="D231" t="s">
        <v>15</v>
      </c>
      <c r="E231" t="s">
        <v>16</v>
      </c>
      <c r="F231">
        <v>2633</v>
      </c>
      <c r="G231">
        <v>318</v>
      </c>
      <c r="H231">
        <v>380</v>
      </c>
      <c r="I231">
        <v>40869</v>
      </c>
      <c r="J231">
        <v>64474</v>
      </c>
      <c r="K231">
        <v>245</v>
      </c>
      <c r="L231" t="s">
        <v>21</v>
      </c>
      <c r="M231" t="s">
        <v>22</v>
      </c>
      <c r="N231" s="11">
        <f t="shared" si="6"/>
        <v>8.1504318676747664E-2</v>
      </c>
      <c r="O231">
        <f t="shared" si="7"/>
        <v>124</v>
      </c>
    </row>
    <row r="232" spans="1:15">
      <c r="A232" t="s">
        <v>186</v>
      </c>
      <c r="B232" t="s">
        <v>24</v>
      </c>
      <c r="C232" s="5">
        <v>45312</v>
      </c>
      <c r="D232" t="s">
        <v>25</v>
      </c>
      <c r="E232" t="s">
        <v>16</v>
      </c>
      <c r="F232">
        <v>2383</v>
      </c>
      <c r="G232">
        <v>136</v>
      </c>
      <c r="H232">
        <v>302</v>
      </c>
      <c r="I232">
        <v>39187</v>
      </c>
      <c r="J232">
        <v>22133</v>
      </c>
      <c r="K232">
        <v>208</v>
      </c>
      <c r="L232" t="s">
        <v>365</v>
      </c>
      <c r="M232" t="s">
        <v>18</v>
      </c>
      <c r="N232" s="11">
        <f t="shared" si="6"/>
        <v>7.1988159338556151E-2</v>
      </c>
      <c r="O232">
        <f t="shared" si="7"/>
        <v>208</v>
      </c>
    </row>
    <row r="233" spans="1:15">
      <c r="A233" t="s">
        <v>186</v>
      </c>
      <c r="B233" t="s">
        <v>24</v>
      </c>
      <c r="C233" s="5">
        <v>45312</v>
      </c>
      <c r="D233" t="s">
        <v>25</v>
      </c>
      <c r="E233" t="s">
        <v>16</v>
      </c>
      <c r="F233">
        <v>2383</v>
      </c>
      <c r="G233">
        <v>136</v>
      </c>
      <c r="H233">
        <v>302</v>
      </c>
      <c r="I233">
        <v>39187</v>
      </c>
      <c r="J233">
        <v>22133</v>
      </c>
      <c r="K233">
        <v>208</v>
      </c>
      <c r="L233" t="s">
        <v>41</v>
      </c>
      <c r="M233" t="s">
        <v>18</v>
      </c>
      <c r="N233" s="11">
        <f t="shared" si="6"/>
        <v>7.1988159338556151E-2</v>
      </c>
      <c r="O233">
        <f t="shared" si="7"/>
        <v>208</v>
      </c>
    </row>
    <row r="234" spans="1:15">
      <c r="A234" t="s">
        <v>187</v>
      </c>
      <c r="B234" t="s">
        <v>24</v>
      </c>
      <c r="C234" s="5">
        <v>45696</v>
      </c>
      <c r="D234" t="s">
        <v>25</v>
      </c>
      <c r="E234" t="s">
        <v>50</v>
      </c>
      <c r="F234">
        <v>4752</v>
      </c>
      <c r="G234">
        <v>334</v>
      </c>
      <c r="H234">
        <v>56</v>
      </c>
      <c r="I234">
        <v>48017</v>
      </c>
      <c r="J234">
        <v>55534</v>
      </c>
      <c r="K234">
        <v>270</v>
      </c>
      <c r="L234" t="s">
        <v>21</v>
      </c>
      <c r="M234" t="s">
        <v>18</v>
      </c>
      <c r="N234" s="11">
        <f t="shared" si="6"/>
        <v>0.10708707332819627</v>
      </c>
      <c r="O234">
        <f t="shared" si="7"/>
        <v>73</v>
      </c>
    </row>
    <row r="235" spans="1:15">
      <c r="A235" t="s">
        <v>187</v>
      </c>
      <c r="B235" t="s">
        <v>24</v>
      </c>
      <c r="C235" s="5">
        <v>45696</v>
      </c>
      <c r="D235" t="s">
        <v>25</v>
      </c>
      <c r="E235" t="s">
        <v>50</v>
      </c>
      <c r="F235">
        <v>4752</v>
      </c>
      <c r="G235">
        <v>334</v>
      </c>
      <c r="H235">
        <v>56</v>
      </c>
      <c r="I235">
        <v>48017</v>
      </c>
      <c r="J235">
        <v>55534</v>
      </c>
      <c r="K235">
        <v>270</v>
      </c>
      <c r="L235" t="s">
        <v>365</v>
      </c>
      <c r="M235" t="s">
        <v>18</v>
      </c>
      <c r="N235" s="11">
        <f t="shared" si="6"/>
        <v>0.10708707332819627</v>
      </c>
      <c r="O235">
        <f t="shared" si="7"/>
        <v>73</v>
      </c>
    </row>
    <row r="236" spans="1:15">
      <c r="A236" t="s">
        <v>188</v>
      </c>
      <c r="B236" t="s">
        <v>24</v>
      </c>
      <c r="C236" s="5">
        <v>45760</v>
      </c>
      <c r="D236" t="s">
        <v>15</v>
      </c>
      <c r="E236" t="s">
        <v>48</v>
      </c>
      <c r="F236">
        <v>3890</v>
      </c>
      <c r="G236">
        <v>408</v>
      </c>
      <c r="H236">
        <v>338</v>
      </c>
      <c r="I236">
        <v>56994</v>
      </c>
      <c r="J236">
        <v>32621</v>
      </c>
      <c r="K236">
        <v>286</v>
      </c>
      <c r="L236" t="s">
        <v>44</v>
      </c>
      <c r="M236" t="s">
        <v>22</v>
      </c>
      <c r="N236" s="11">
        <f t="shared" si="6"/>
        <v>8.1341895638137346E-2</v>
      </c>
      <c r="O236">
        <f t="shared" si="7"/>
        <v>33</v>
      </c>
    </row>
    <row r="237" spans="1:15">
      <c r="A237" t="s">
        <v>189</v>
      </c>
      <c r="B237" t="s">
        <v>24</v>
      </c>
      <c r="C237" s="5">
        <v>45442</v>
      </c>
      <c r="D237" t="s">
        <v>25</v>
      </c>
      <c r="E237" t="s">
        <v>50</v>
      </c>
      <c r="F237">
        <v>2311</v>
      </c>
      <c r="G237">
        <v>207</v>
      </c>
      <c r="H237">
        <v>363</v>
      </c>
      <c r="I237">
        <v>30349</v>
      </c>
      <c r="J237">
        <v>32925</v>
      </c>
      <c r="K237">
        <v>88</v>
      </c>
      <c r="L237" t="s">
        <v>365</v>
      </c>
      <c r="M237" t="s">
        <v>18</v>
      </c>
      <c r="N237" s="11">
        <f t="shared" si="6"/>
        <v>9.4928992718046723E-2</v>
      </c>
      <c r="O237">
        <f t="shared" si="7"/>
        <v>457</v>
      </c>
    </row>
    <row r="238" spans="1:15">
      <c r="A238" t="s">
        <v>189</v>
      </c>
      <c r="B238" t="s">
        <v>24</v>
      </c>
      <c r="C238" s="5">
        <v>45442</v>
      </c>
      <c r="D238" t="s">
        <v>25</v>
      </c>
      <c r="E238" t="s">
        <v>50</v>
      </c>
      <c r="F238">
        <v>2311</v>
      </c>
      <c r="G238">
        <v>207</v>
      </c>
      <c r="H238">
        <v>363</v>
      </c>
      <c r="I238">
        <v>30349</v>
      </c>
      <c r="J238">
        <v>32925</v>
      </c>
      <c r="K238">
        <v>88</v>
      </c>
      <c r="L238" t="s">
        <v>41</v>
      </c>
      <c r="M238" t="s">
        <v>18</v>
      </c>
      <c r="N238" s="11">
        <f t="shared" si="6"/>
        <v>9.4928992718046723E-2</v>
      </c>
      <c r="O238">
        <f t="shared" si="7"/>
        <v>457</v>
      </c>
    </row>
    <row r="239" spans="1:15">
      <c r="A239" t="s">
        <v>190</v>
      </c>
      <c r="B239" t="s">
        <v>14</v>
      </c>
      <c r="C239" s="5">
        <v>45516</v>
      </c>
      <c r="D239" t="s">
        <v>25</v>
      </c>
      <c r="E239" t="s">
        <v>16</v>
      </c>
      <c r="F239">
        <v>2962</v>
      </c>
      <c r="G239">
        <v>400</v>
      </c>
      <c r="H239">
        <v>280</v>
      </c>
      <c r="I239">
        <v>52508</v>
      </c>
      <c r="J239">
        <v>58329</v>
      </c>
      <c r="K239">
        <v>219</v>
      </c>
      <c r="L239" t="s">
        <v>41</v>
      </c>
      <c r="M239" t="s">
        <v>54</v>
      </c>
      <c r="N239" s="11">
        <f t="shared" si="6"/>
        <v>6.9360859297630834E-2</v>
      </c>
      <c r="O239">
        <f t="shared" si="7"/>
        <v>180</v>
      </c>
    </row>
    <row r="240" spans="1:15">
      <c r="A240" t="s">
        <v>191</v>
      </c>
      <c r="B240" t="s">
        <v>14</v>
      </c>
      <c r="C240" s="5">
        <v>45562</v>
      </c>
      <c r="D240" t="s">
        <v>15</v>
      </c>
      <c r="E240" t="s">
        <v>16</v>
      </c>
      <c r="F240">
        <v>3118</v>
      </c>
      <c r="G240">
        <v>116</v>
      </c>
      <c r="H240">
        <v>195</v>
      </c>
      <c r="I240">
        <v>37100</v>
      </c>
      <c r="J240">
        <v>62629</v>
      </c>
      <c r="K240">
        <v>272</v>
      </c>
      <c r="L240" t="s">
        <v>21</v>
      </c>
      <c r="M240" t="s">
        <v>22</v>
      </c>
      <c r="N240" s="11">
        <f t="shared" si="6"/>
        <v>9.2425876010781671E-2</v>
      </c>
      <c r="O240">
        <f t="shared" si="7"/>
        <v>65</v>
      </c>
    </row>
    <row r="241" spans="1:15">
      <c r="A241" t="s">
        <v>192</v>
      </c>
      <c r="B241" t="s">
        <v>24</v>
      </c>
      <c r="C241" s="5">
        <v>45819</v>
      </c>
      <c r="D241" t="s">
        <v>25</v>
      </c>
      <c r="E241" t="s">
        <v>20</v>
      </c>
      <c r="F241">
        <v>3805</v>
      </c>
      <c r="G241">
        <v>453</v>
      </c>
      <c r="H241">
        <v>63</v>
      </c>
      <c r="I241">
        <v>52395</v>
      </c>
      <c r="J241">
        <v>72934</v>
      </c>
      <c r="K241">
        <v>87</v>
      </c>
      <c r="L241" t="s">
        <v>21</v>
      </c>
      <c r="M241" t="s">
        <v>18</v>
      </c>
      <c r="N241" s="11">
        <f t="shared" si="6"/>
        <v>8.2469701307376658E-2</v>
      </c>
      <c r="O241">
        <f t="shared" si="7"/>
        <v>463</v>
      </c>
    </row>
    <row r="242" spans="1:15">
      <c r="A242" t="s">
        <v>192</v>
      </c>
      <c r="B242" t="s">
        <v>24</v>
      </c>
      <c r="C242" s="5">
        <v>45819</v>
      </c>
      <c r="D242" t="s">
        <v>25</v>
      </c>
      <c r="E242" t="s">
        <v>20</v>
      </c>
      <c r="F242">
        <v>3805</v>
      </c>
      <c r="G242">
        <v>453</v>
      </c>
      <c r="H242">
        <v>63</v>
      </c>
      <c r="I242">
        <v>52395</v>
      </c>
      <c r="J242">
        <v>72934</v>
      </c>
      <c r="K242">
        <v>87</v>
      </c>
      <c r="L242" t="s">
        <v>365</v>
      </c>
      <c r="M242" t="s">
        <v>18</v>
      </c>
      <c r="N242" s="11">
        <f t="shared" si="6"/>
        <v>8.2469701307376658E-2</v>
      </c>
      <c r="O242">
        <f t="shared" si="7"/>
        <v>463</v>
      </c>
    </row>
    <row r="243" spans="1:15">
      <c r="A243" t="s">
        <v>193</v>
      </c>
      <c r="B243" t="s">
        <v>14</v>
      </c>
      <c r="C243" s="5">
        <v>45615</v>
      </c>
      <c r="D243" t="s">
        <v>15</v>
      </c>
      <c r="E243" t="s">
        <v>34</v>
      </c>
      <c r="F243">
        <v>2525</v>
      </c>
      <c r="G243">
        <v>272</v>
      </c>
      <c r="H243">
        <v>294</v>
      </c>
      <c r="I243">
        <v>51875</v>
      </c>
      <c r="J243">
        <v>24732</v>
      </c>
      <c r="K243">
        <v>92</v>
      </c>
      <c r="L243" t="s">
        <v>21</v>
      </c>
      <c r="M243" t="s">
        <v>22</v>
      </c>
      <c r="N243" s="11">
        <f t="shared" si="6"/>
        <v>5.9585542168674697E-2</v>
      </c>
      <c r="O243">
        <f t="shared" si="7"/>
        <v>449</v>
      </c>
    </row>
    <row r="244" spans="1:15">
      <c r="A244" t="s">
        <v>194</v>
      </c>
      <c r="B244" t="s">
        <v>14</v>
      </c>
      <c r="C244" s="5">
        <v>45407</v>
      </c>
      <c r="D244" t="s">
        <v>15</v>
      </c>
      <c r="E244" t="s">
        <v>31</v>
      </c>
      <c r="F244">
        <v>3563</v>
      </c>
      <c r="G244">
        <v>483</v>
      </c>
      <c r="H244">
        <v>227</v>
      </c>
      <c r="I244">
        <v>41085</v>
      </c>
      <c r="J244">
        <v>26393</v>
      </c>
      <c r="K244">
        <v>236</v>
      </c>
      <c r="L244" t="s">
        <v>44</v>
      </c>
      <c r="M244" t="s">
        <v>18</v>
      </c>
      <c r="N244" s="11">
        <f t="shared" si="6"/>
        <v>0.10400389436534015</v>
      </c>
      <c r="O244">
        <f t="shared" si="7"/>
        <v>138</v>
      </c>
    </row>
    <row r="245" spans="1:15">
      <c r="A245" t="s">
        <v>194</v>
      </c>
      <c r="B245" t="s">
        <v>14</v>
      </c>
      <c r="C245" s="5">
        <v>45407</v>
      </c>
      <c r="D245" t="s">
        <v>15</v>
      </c>
      <c r="E245" t="s">
        <v>31</v>
      </c>
      <c r="F245">
        <v>3563</v>
      </c>
      <c r="G245">
        <v>483</v>
      </c>
      <c r="H245">
        <v>227</v>
      </c>
      <c r="I245">
        <v>41085</v>
      </c>
      <c r="J245">
        <v>26393</v>
      </c>
      <c r="K245">
        <v>236</v>
      </c>
      <c r="L245" t="s">
        <v>41</v>
      </c>
      <c r="M245" t="s">
        <v>18</v>
      </c>
      <c r="N245" s="11">
        <f t="shared" si="6"/>
        <v>0.10400389436534015</v>
      </c>
      <c r="O245">
        <f t="shared" si="7"/>
        <v>138</v>
      </c>
    </row>
    <row r="246" spans="1:15">
      <c r="A246" t="s">
        <v>195</v>
      </c>
      <c r="B246" t="s">
        <v>364</v>
      </c>
      <c r="C246" s="5">
        <v>45538</v>
      </c>
      <c r="D246" t="s">
        <v>56</v>
      </c>
      <c r="E246" t="s">
        <v>34</v>
      </c>
      <c r="F246">
        <v>1437</v>
      </c>
      <c r="G246">
        <v>494</v>
      </c>
      <c r="H246">
        <v>129</v>
      </c>
      <c r="I246">
        <v>53048</v>
      </c>
      <c r="J246">
        <v>44090</v>
      </c>
      <c r="K246">
        <v>230</v>
      </c>
      <c r="L246" t="s">
        <v>21</v>
      </c>
      <c r="M246" t="s">
        <v>58</v>
      </c>
      <c r="N246" s="11">
        <f t="shared" si="6"/>
        <v>3.8832755240536872E-2</v>
      </c>
      <c r="O246">
        <f t="shared" si="7"/>
        <v>155</v>
      </c>
    </row>
    <row r="247" spans="1:15">
      <c r="A247" t="s">
        <v>195</v>
      </c>
      <c r="B247" t="s">
        <v>364</v>
      </c>
      <c r="C247" s="5">
        <v>45538</v>
      </c>
      <c r="D247" t="s">
        <v>56</v>
      </c>
      <c r="E247" t="s">
        <v>34</v>
      </c>
      <c r="F247">
        <v>1437</v>
      </c>
      <c r="G247">
        <v>494</v>
      </c>
      <c r="H247">
        <v>129</v>
      </c>
      <c r="I247">
        <v>53048</v>
      </c>
      <c r="J247">
        <v>44090</v>
      </c>
      <c r="K247">
        <v>230</v>
      </c>
      <c r="L247" t="s">
        <v>44</v>
      </c>
      <c r="M247" t="s">
        <v>58</v>
      </c>
      <c r="N247" s="11">
        <f t="shared" si="6"/>
        <v>3.8832755240536872E-2</v>
      </c>
      <c r="O247">
        <f t="shared" si="7"/>
        <v>155</v>
      </c>
    </row>
    <row r="248" spans="1:15">
      <c r="A248" t="s">
        <v>196</v>
      </c>
      <c r="B248" t="s">
        <v>364</v>
      </c>
      <c r="C248" s="5">
        <v>45718</v>
      </c>
      <c r="D248" t="s">
        <v>15</v>
      </c>
      <c r="E248" t="s">
        <v>48</v>
      </c>
      <c r="F248">
        <v>4425</v>
      </c>
      <c r="G248">
        <v>185</v>
      </c>
      <c r="H248">
        <v>162</v>
      </c>
      <c r="I248">
        <v>24610</v>
      </c>
      <c r="J248">
        <v>21342</v>
      </c>
      <c r="K248">
        <v>158</v>
      </c>
      <c r="L248" t="s">
        <v>21</v>
      </c>
      <c r="M248" t="s">
        <v>22</v>
      </c>
      <c r="N248" s="11">
        <f t="shared" si="6"/>
        <v>0.19390491670052823</v>
      </c>
      <c r="O248">
        <f t="shared" si="7"/>
        <v>325</v>
      </c>
    </row>
    <row r="249" spans="1:15">
      <c r="A249" t="s">
        <v>196</v>
      </c>
      <c r="B249" t="s">
        <v>364</v>
      </c>
      <c r="C249" s="5">
        <v>45718</v>
      </c>
      <c r="D249" t="s">
        <v>15</v>
      </c>
      <c r="E249" t="s">
        <v>48</v>
      </c>
      <c r="F249">
        <v>4425</v>
      </c>
      <c r="G249">
        <v>185</v>
      </c>
      <c r="H249">
        <v>162</v>
      </c>
      <c r="I249">
        <v>24610</v>
      </c>
      <c r="J249">
        <v>21342</v>
      </c>
      <c r="K249">
        <v>158</v>
      </c>
      <c r="L249" t="s">
        <v>366</v>
      </c>
      <c r="M249" t="s">
        <v>22</v>
      </c>
      <c r="N249" s="11">
        <f t="shared" si="6"/>
        <v>0.19390491670052823</v>
      </c>
      <c r="O249">
        <f t="shared" si="7"/>
        <v>325</v>
      </c>
    </row>
    <row r="250" spans="1:15">
      <c r="A250" t="s">
        <v>197</v>
      </c>
      <c r="B250" t="s">
        <v>24</v>
      </c>
      <c r="C250" s="5">
        <v>45737</v>
      </c>
      <c r="D250" t="s">
        <v>25</v>
      </c>
      <c r="E250" t="s">
        <v>26</v>
      </c>
      <c r="F250">
        <v>4609</v>
      </c>
      <c r="G250">
        <v>427</v>
      </c>
      <c r="H250">
        <v>395</v>
      </c>
      <c r="I250">
        <v>33698</v>
      </c>
      <c r="J250">
        <v>29259</v>
      </c>
      <c r="K250">
        <v>216</v>
      </c>
      <c r="L250" t="s">
        <v>21</v>
      </c>
      <c r="M250" t="s">
        <v>18</v>
      </c>
      <c r="N250" s="11">
        <f t="shared" si="6"/>
        <v>0.16116683482699271</v>
      </c>
      <c r="O250">
        <f t="shared" si="7"/>
        <v>185</v>
      </c>
    </row>
    <row r="251" spans="1:15">
      <c r="A251" t="s">
        <v>197</v>
      </c>
      <c r="B251" t="s">
        <v>24</v>
      </c>
      <c r="C251" s="5">
        <v>45737</v>
      </c>
      <c r="D251" t="s">
        <v>25</v>
      </c>
      <c r="E251" t="s">
        <v>26</v>
      </c>
      <c r="F251">
        <v>4609</v>
      </c>
      <c r="G251">
        <v>427</v>
      </c>
      <c r="H251">
        <v>395</v>
      </c>
      <c r="I251">
        <v>33698</v>
      </c>
      <c r="J251">
        <v>29259</v>
      </c>
      <c r="K251">
        <v>216</v>
      </c>
      <c r="L251" t="s">
        <v>365</v>
      </c>
      <c r="M251" t="s">
        <v>18</v>
      </c>
      <c r="N251" s="11">
        <f t="shared" si="6"/>
        <v>0.16116683482699271</v>
      </c>
      <c r="O251">
        <f t="shared" si="7"/>
        <v>185</v>
      </c>
    </row>
    <row r="252" spans="1:15">
      <c r="A252" t="s">
        <v>198</v>
      </c>
      <c r="B252" t="s">
        <v>14</v>
      </c>
      <c r="C252" s="5">
        <v>45394</v>
      </c>
      <c r="D252" t="s">
        <v>25</v>
      </c>
      <c r="E252" t="s">
        <v>36</v>
      </c>
      <c r="F252">
        <v>1558</v>
      </c>
      <c r="G252">
        <v>352</v>
      </c>
      <c r="H252">
        <v>202</v>
      </c>
      <c r="I252">
        <v>25405</v>
      </c>
      <c r="J252">
        <v>69941</v>
      </c>
      <c r="K252">
        <v>219</v>
      </c>
      <c r="L252" t="s">
        <v>41</v>
      </c>
      <c r="M252" t="s">
        <v>54</v>
      </c>
      <c r="N252" s="11">
        <f t="shared" si="6"/>
        <v>8.3133241487896081E-2</v>
      </c>
      <c r="O252">
        <f t="shared" si="7"/>
        <v>180</v>
      </c>
    </row>
    <row r="253" spans="1:15">
      <c r="A253" t="s">
        <v>199</v>
      </c>
      <c r="B253" t="s">
        <v>364</v>
      </c>
      <c r="C253" s="5">
        <v>45330</v>
      </c>
      <c r="D253" t="s">
        <v>56</v>
      </c>
      <c r="E253" t="s">
        <v>40</v>
      </c>
      <c r="F253">
        <v>1889</v>
      </c>
      <c r="G253">
        <v>298</v>
      </c>
      <c r="H253">
        <v>122</v>
      </c>
      <c r="I253">
        <v>46225</v>
      </c>
      <c r="J253">
        <v>74305</v>
      </c>
      <c r="K253">
        <v>293</v>
      </c>
      <c r="L253" t="s">
        <v>21</v>
      </c>
      <c r="M253" t="s">
        <v>58</v>
      </c>
      <c r="N253" s="11">
        <f t="shared" si="6"/>
        <v>4.9951325040562468E-2</v>
      </c>
      <c r="O253">
        <f t="shared" si="7"/>
        <v>16</v>
      </c>
    </row>
    <row r="254" spans="1:15">
      <c r="A254" t="s">
        <v>199</v>
      </c>
      <c r="B254" t="s">
        <v>364</v>
      </c>
      <c r="C254" s="5">
        <v>45330</v>
      </c>
      <c r="D254" t="s">
        <v>56</v>
      </c>
      <c r="E254" t="s">
        <v>40</v>
      </c>
      <c r="F254">
        <v>1889</v>
      </c>
      <c r="G254">
        <v>298</v>
      </c>
      <c r="H254">
        <v>122</v>
      </c>
      <c r="I254">
        <v>46225</v>
      </c>
      <c r="J254">
        <v>74305</v>
      </c>
      <c r="K254">
        <v>293</v>
      </c>
      <c r="L254" t="s">
        <v>44</v>
      </c>
      <c r="M254" t="s">
        <v>58</v>
      </c>
      <c r="N254" s="11">
        <f t="shared" si="6"/>
        <v>4.9951325040562468E-2</v>
      </c>
      <c r="O254">
        <f t="shared" si="7"/>
        <v>16</v>
      </c>
    </row>
    <row r="255" spans="1:15">
      <c r="A255" t="s">
        <v>200</v>
      </c>
      <c r="B255" t="s">
        <v>14</v>
      </c>
      <c r="C255" s="5">
        <v>45803</v>
      </c>
      <c r="D255" t="s">
        <v>15</v>
      </c>
      <c r="E255" t="s">
        <v>16</v>
      </c>
      <c r="F255">
        <v>3086</v>
      </c>
      <c r="G255">
        <v>148</v>
      </c>
      <c r="H255">
        <v>310</v>
      </c>
      <c r="I255">
        <v>22824</v>
      </c>
      <c r="J255">
        <v>58103</v>
      </c>
      <c r="K255">
        <v>275</v>
      </c>
      <c r="L255" t="s">
        <v>21</v>
      </c>
      <c r="M255" t="s">
        <v>22</v>
      </c>
      <c r="N255" s="11">
        <f t="shared" si="6"/>
        <v>0.1552751489660007</v>
      </c>
      <c r="O255">
        <f t="shared" si="7"/>
        <v>57</v>
      </c>
    </row>
    <row r="256" spans="1:15">
      <c r="A256" t="s">
        <v>201</v>
      </c>
      <c r="B256" t="s">
        <v>14</v>
      </c>
      <c r="C256" s="5">
        <v>45610</v>
      </c>
      <c r="D256" t="s">
        <v>15</v>
      </c>
      <c r="E256" t="s">
        <v>31</v>
      </c>
      <c r="F256">
        <v>2422</v>
      </c>
      <c r="G256">
        <v>318</v>
      </c>
      <c r="H256">
        <v>118</v>
      </c>
      <c r="I256">
        <v>25386</v>
      </c>
      <c r="J256">
        <v>20873</v>
      </c>
      <c r="K256">
        <v>100</v>
      </c>
      <c r="L256" t="s">
        <v>44</v>
      </c>
      <c r="M256" t="s">
        <v>18</v>
      </c>
      <c r="N256" s="11">
        <f t="shared" si="6"/>
        <v>0.11258173796580792</v>
      </c>
      <c r="O256">
        <f t="shared" si="7"/>
        <v>440</v>
      </c>
    </row>
    <row r="257" spans="1:15">
      <c r="A257" t="s">
        <v>201</v>
      </c>
      <c r="B257" t="s">
        <v>14</v>
      </c>
      <c r="C257" s="5">
        <v>45610</v>
      </c>
      <c r="D257" t="s">
        <v>15</v>
      </c>
      <c r="E257" t="s">
        <v>31</v>
      </c>
      <c r="F257">
        <v>2422</v>
      </c>
      <c r="G257">
        <v>318</v>
      </c>
      <c r="H257">
        <v>118</v>
      </c>
      <c r="I257">
        <v>25386</v>
      </c>
      <c r="J257">
        <v>20873</v>
      </c>
      <c r="K257">
        <v>100</v>
      </c>
      <c r="L257" t="s">
        <v>41</v>
      </c>
      <c r="M257" t="s">
        <v>18</v>
      </c>
      <c r="N257" s="11">
        <f t="shared" si="6"/>
        <v>0.11258173796580792</v>
      </c>
      <c r="O257">
        <f t="shared" si="7"/>
        <v>440</v>
      </c>
    </row>
    <row r="258" spans="1:15">
      <c r="A258" t="s">
        <v>202</v>
      </c>
      <c r="B258" t="s">
        <v>364</v>
      </c>
      <c r="C258" s="5">
        <v>45513</v>
      </c>
      <c r="D258" t="s">
        <v>56</v>
      </c>
      <c r="E258" t="s">
        <v>48</v>
      </c>
      <c r="F258">
        <v>3414</v>
      </c>
      <c r="G258">
        <v>154</v>
      </c>
      <c r="H258">
        <v>204</v>
      </c>
      <c r="I258">
        <v>34146</v>
      </c>
      <c r="J258">
        <v>44633</v>
      </c>
      <c r="K258">
        <v>256</v>
      </c>
      <c r="L258" t="s">
        <v>21</v>
      </c>
      <c r="M258" t="s">
        <v>58</v>
      </c>
      <c r="N258" s="11">
        <f t="shared" ref="N258:N321" si="8">(F258+G258+H258)/I258</f>
        <v>0.11046681895390383</v>
      </c>
      <c r="O258">
        <f t="shared" ref="O258:O321" si="9">_xlfn.RANK.EQ(K258,K:K,0)</f>
        <v>112</v>
      </c>
    </row>
    <row r="259" spans="1:15">
      <c r="A259" t="s">
        <v>202</v>
      </c>
      <c r="B259" t="s">
        <v>364</v>
      </c>
      <c r="C259" s="5">
        <v>45513</v>
      </c>
      <c r="D259" t="s">
        <v>56</v>
      </c>
      <c r="E259" t="s">
        <v>48</v>
      </c>
      <c r="F259">
        <v>3414</v>
      </c>
      <c r="G259">
        <v>154</v>
      </c>
      <c r="H259">
        <v>204</v>
      </c>
      <c r="I259">
        <v>34146</v>
      </c>
      <c r="J259">
        <v>44633</v>
      </c>
      <c r="K259">
        <v>256</v>
      </c>
      <c r="L259" t="s">
        <v>44</v>
      </c>
      <c r="M259" t="s">
        <v>58</v>
      </c>
      <c r="N259" s="11">
        <f t="shared" si="8"/>
        <v>0.11046681895390383</v>
      </c>
      <c r="O259">
        <f t="shared" si="9"/>
        <v>112</v>
      </c>
    </row>
    <row r="260" spans="1:15">
      <c r="A260" t="s">
        <v>203</v>
      </c>
      <c r="B260" t="s">
        <v>14</v>
      </c>
      <c r="C260" s="5">
        <v>45835</v>
      </c>
      <c r="D260" t="s">
        <v>25</v>
      </c>
      <c r="E260" t="s">
        <v>34</v>
      </c>
      <c r="F260">
        <v>1342</v>
      </c>
      <c r="G260">
        <v>332</v>
      </c>
      <c r="H260">
        <v>163</v>
      </c>
      <c r="I260">
        <v>51712</v>
      </c>
      <c r="J260">
        <v>57922</v>
      </c>
      <c r="K260">
        <v>168</v>
      </c>
      <c r="L260" t="s">
        <v>41</v>
      </c>
      <c r="M260" t="s">
        <v>54</v>
      </c>
      <c r="N260" s="11">
        <f t="shared" si="8"/>
        <v>3.5523669554455448E-2</v>
      </c>
      <c r="O260">
        <f t="shared" si="9"/>
        <v>300</v>
      </c>
    </row>
    <row r="261" spans="1:15">
      <c r="A261" t="s">
        <v>204</v>
      </c>
      <c r="B261" t="s">
        <v>14</v>
      </c>
      <c r="C261" s="5">
        <v>45420</v>
      </c>
      <c r="D261" t="s">
        <v>25</v>
      </c>
      <c r="E261" t="s">
        <v>31</v>
      </c>
      <c r="F261">
        <v>2414</v>
      </c>
      <c r="G261">
        <v>220</v>
      </c>
      <c r="H261">
        <v>280</v>
      </c>
      <c r="I261">
        <v>27355</v>
      </c>
      <c r="J261">
        <v>50562</v>
      </c>
      <c r="K261">
        <v>258</v>
      </c>
      <c r="L261" t="s">
        <v>41</v>
      </c>
      <c r="M261" t="s">
        <v>54</v>
      </c>
      <c r="N261" s="11">
        <f t="shared" si="8"/>
        <v>0.10652531529884847</v>
      </c>
      <c r="O261">
        <f t="shared" si="9"/>
        <v>108</v>
      </c>
    </row>
    <row r="262" spans="1:15">
      <c r="A262" t="s">
        <v>205</v>
      </c>
      <c r="B262" t="s">
        <v>14</v>
      </c>
      <c r="C262" s="5">
        <v>45387</v>
      </c>
      <c r="D262" t="s">
        <v>15</v>
      </c>
      <c r="E262" t="s">
        <v>26</v>
      </c>
      <c r="F262">
        <v>4383</v>
      </c>
      <c r="G262">
        <v>352</v>
      </c>
      <c r="H262">
        <v>176</v>
      </c>
      <c r="I262">
        <v>53239</v>
      </c>
      <c r="J262">
        <v>34168</v>
      </c>
      <c r="K262">
        <v>288</v>
      </c>
      <c r="L262" t="s">
        <v>21</v>
      </c>
      <c r="M262" t="s">
        <v>22</v>
      </c>
      <c r="N262" s="11">
        <f t="shared" si="8"/>
        <v>9.2244407295403744E-2</v>
      </c>
      <c r="O262">
        <f t="shared" si="9"/>
        <v>28</v>
      </c>
    </row>
    <row r="263" spans="1:15">
      <c r="A263" t="s">
        <v>206</v>
      </c>
      <c r="B263" t="s">
        <v>364</v>
      </c>
      <c r="C263" s="5">
        <v>45684</v>
      </c>
      <c r="D263" t="s">
        <v>15</v>
      </c>
      <c r="E263" t="s">
        <v>29</v>
      </c>
      <c r="F263">
        <v>4294</v>
      </c>
      <c r="G263">
        <v>423</v>
      </c>
      <c r="H263">
        <v>93</v>
      </c>
      <c r="I263">
        <v>29828</v>
      </c>
      <c r="J263">
        <v>73144</v>
      </c>
      <c r="K263">
        <v>298</v>
      </c>
      <c r="L263" t="s">
        <v>21</v>
      </c>
      <c r="M263" t="s">
        <v>22</v>
      </c>
      <c r="N263" s="11">
        <f t="shared" si="8"/>
        <v>0.1612578785034196</v>
      </c>
      <c r="O263">
        <f t="shared" si="9"/>
        <v>3</v>
      </c>
    </row>
    <row r="264" spans="1:15">
      <c r="A264" t="s">
        <v>206</v>
      </c>
      <c r="B264" t="s">
        <v>364</v>
      </c>
      <c r="C264" s="5">
        <v>45684</v>
      </c>
      <c r="D264" t="s">
        <v>15</v>
      </c>
      <c r="E264" t="s">
        <v>29</v>
      </c>
      <c r="F264">
        <v>4294</v>
      </c>
      <c r="G264">
        <v>423</v>
      </c>
      <c r="H264">
        <v>93</v>
      </c>
      <c r="I264">
        <v>29828</v>
      </c>
      <c r="J264">
        <v>73144</v>
      </c>
      <c r="K264">
        <v>298</v>
      </c>
      <c r="L264" t="s">
        <v>366</v>
      </c>
      <c r="M264" t="s">
        <v>22</v>
      </c>
      <c r="N264" s="11">
        <f t="shared" si="8"/>
        <v>0.1612578785034196</v>
      </c>
      <c r="O264">
        <f t="shared" si="9"/>
        <v>3</v>
      </c>
    </row>
    <row r="265" spans="1:15">
      <c r="A265" t="s">
        <v>207</v>
      </c>
      <c r="B265" t="s">
        <v>14</v>
      </c>
      <c r="C265" s="5">
        <v>45385</v>
      </c>
      <c r="D265" t="s">
        <v>15</v>
      </c>
      <c r="E265" t="s">
        <v>40</v>
      </c>
      <c r="F265">
        <v>2762</v>
      </c>
      <c r="G265">
        <v>339</v>
      </c>
      <c r="H265">
        <v>323</v>
      </c>
      <c r="I265">
        <v>33757</v>
      </c>
      <c r="J265">
        <v>68511</v>
      </c>
      <c r="K265">
        <v>121</v>
      </c>
      <c r="L265" t="s">
        <v>44</v>
      </c>
      <c r="M265" t="s">
        <v>18</v>
      </c>
      <c r="N265" s="11">
        <f t="shared" si="8"/>
        <v>0.10143081434961637</v>
      </c>
      <c r="O265">
        <f t="shared" si="9"/>
        <v>387</v>
      </c>
    </row>
    <row r="266" spans="1:15">
      <c r="A266" t="s">
        <v>207</v>
      </c>
      <c r="B266" t="s">
        <v>14</v>
      </c>
      <c r="C266" s="5">
        <v>45385</v>
      </c>
      <c r="D266" t="s">
        <v>15</v>
      </c>
      <c r="E266" t="s">
        <v>40</v>
      </c>
      <c r="F266">
        <v>2762</v>
      </c>
      <c r="G266">
        <v>339</v>
      </c>
      <c r="H266">
        <v>323</v>
      </c>
      <c r="I266">
        <v>33757</v>
      </c>
      <c r="J266">
        <v>68511</v>
      </c>
      <c r="K266">
        <v>121</v>
      </c>
      <c r="L266" t="s">
        <v>41</v>
      </c>
      <c r="M266" t="s">
        <v>18</v>
      </c>
      <c r="N266" s="11">
        <f t="shared" si="8"/>
        <v>0.10143081434961637</v>
      </c>
      <c r="O266">
        <f t="shared" si="9"/>
        <v>387</v>
      </c>
    </row>
    <row r="267" spans="1:15">
      <c r="A267" t="s">
        <v>208</v>
      </c>
      <c r="B267" t="s">
        <v>364</v>
      </c>
      <c r="C267" s="5">
        <v>45660</v>
      </c>
      <c r="D267" t="s">
        <v>15</v>
      </c>
      <c r="E267" t="s">
        <v>26</v>
      </c>
      <c r="F267">
        <v>3782</v>
      </c>
      <c r="G267">
        <v>484</v>
      </c>
      <c r="H267">
        <v>144</v>
      </c>
      <c r="I267">
        <v>52172</v>
      </c>
      <c r="J267">
        <v>59386</v>
      </c>
      <c r="K267">
        <v>175</v>
      </c>
      <c r="L267" t="s">
        <v>21</v>
      </c>
      <c r="M267" t="s">
        <v>22</v>
      </c>
      <c r="N267" s="11">
        <f t="shared" si="8"/>
        <v>8.4528099363643333E-2</v>
      </c>
      <c r="O267">
        <f t="shared" si="9"/>
        <v>277</v>
      </c>
    </row>
    <row r="268" spans="1:15">
      <c r="A268" t="s">
        <v>208</v>
      </c>
      <c r="B268" t="s">
        <v>364</v>
      </c>
      <c r="C268" s="5">
        <v>45660</v>
      </c>
      <c r="D268" t="s">
        <v>15</v>
      </c>
      <c r="E268" t="s">
        <v>26</v>
      </c>
      <c r="F268">
        <v>3782</v>
      </c>
      <c r="G268">
        <v>484</v>
      </c>
      <c r="H268">
        <v>144</v>
      </c>
      <c r="I268">
        <v>52172</v>
      </c>
      <c r="J268">
        <v>59386</v>
      </c>
      <c r="K268">
        <v>175</v>
      </c>
      <c r="L268" t="s">
        <v>366</v>
      </c>
      <c r="M268" t="s">
        <v>22</v>
      </c>
      <c r="N268" s="11">
        <f t="shared" si="8"/>
        <v>8.4528099363643333E-2</v>
      </c>
      <c r="O268">
        <f t="shared" si="9"/>
        <v>277</v>
      </c>
    </row>
    <row r="269" spans="1:15">
      <c r="A269" t="s">
        <v>209</v>
      </c>
      <c r="B269" t="s">
        <v>24</v>
      </c>
      <c r="C269" s="5">
        <v>45619</v>
      </c>
      <c r="D269" t="s">
        <v>15</v>
      </c>
      <c r="E269" t="s">
        <v>26</v>
      </c>
      <c r="F269">
        <v>4318</v>
      </c>
      <c r="G269">
        <v>371</v>
      </c>
      <c r="H269">
        <v>329</v>
      </c>
      <c r="I269">
        <v>32347</v>
      </c>
      <c r="J269">
        <v>68956</v>
      </c>
      <c r="K269">
        <v>259</v>
      </c>
      <c r="L269" t="s">
        <v>44</v>
      </c>
      <c r="M269" t="s">
        <v>22</v>
      </c>
      <c r="N269" s="11">
        <f t="shared" si="8"/>
        <v>0.15513030574705536</v>
      </c>
      <c r="O269">
        <f t="shared" si="9"/>
        <v>106</v>
      </c>
    </row>
    <row r="270" spans="1:15">
      <c r="A270" t="s">
        <v>210</v>
      </c>
      <c r="B270" t="s">
        <v>14</v>
      </c>
      <c r="C270" s="5">
        <v>45536</v>
      </c>
      <c r="D270" t="s">
        <v>25</v>
      </c>
      <c r="E270" t="s">
        <v>29</v>
      </c>
      <c r="F270">
        <v>2335</v>
      </c>
      <c r="G270">
        <v>150</v>
      </c>
      <c r="H270">
        <v>75</v>
      </c>
      <c r="I270">
        <v>26114</v>
      </c>
      <c r="J270">
        <v>57549</v>
      </c>
      <c r="K270">
        <v>135</v>
      </c>
      <c r="L270" t="s">
        <v>41</v>
      </c>
      <c r="M270" t="s">
        <v>54</v>
      </c>
      <c r="N270" s="11">
        <f t="shared" si="8"/>
        <v>9.8031707130274953E-2</v>
      </c>
      <c r="O270">
        <f t="shared" si="9"/>
        <v>363</v>
      </c>
    </row>
    <row r="271" spans="1:15">
      <c r="A271" t="s">
        <v>211</v>
      </c>
      <c r="B271" t="s">
        <v>364</v>
      </c>
      <c r="C271" s="5">
        <v>45400</v>
      </c>
      <c r="D271" t="s">
        <v>15</v>
      </c>
      <c r="E271" t="s">
        <v>20</v>
      </c>
      <c r="F271">
        <v>4023</v>
      </c>
      <c r="G271">
        <v>293</v>
      </c>
      <c r="H271">
        <v>91</v>
      </c>
      <c r="I271">
        <v>26795</v>
      </c>
      <c r="J271">
        <v>28924</v>
      </c>
      <c r="K271">
        <v>278</v>
      </c>
      <c r="L271" t="s">
        <v>21</v>
      </c>
      <c r="M271" t="s">
        <v>22</v>
      </c>
      <c r="N271" s="11">
        <f t="shared" si="8"/>
        <v>0.16447098339242397</v>
      </c>
      <c r="O271">
        <f t="shared" si="9"/>
        <v>46</v>
      </c>
    </row>
    <row r="272" spans="1:15">
      <c r="A272" t="s">
        <v>211</v>
      </c>
      <c r="B272" t="s">
        <v>364</v>
      </c>
      <c r="C272" s="5">
        <v>45400</v>
      </c>
      <c r="D272" t="s">
        <v>15</v>
      </c>
      <c r="E272" t="s">
        <v>20</v>
      </c>
      <c r="F272">
        <v>4023</v>
      </c>
      <c r="G272">
        <v>293</v>
      </c>
      <c r="H272">
        <v>91</v>
      </c>
      <c r="I272">
        <v>26795</v>
      </c>
      <c r="J272">
        <v>28924</v>
      </c>
      <c r="K272">
        <v>278</v>
      </c>
      <c r="L272" t="s">
        <v>366</v>
      </c>
      <c r="M272" t="s">
        <v>22</v>
      </c>
      <c r="N272" s="11">
        <f t="shared" si="8"/>
        <v>0.16447098339242397</v>
      </c>
      <c r="O272">
        <f t="shared" si="9"/>
        <v>46</v>
      </c>
    </row>
    <row r="273" spans="1:15">
      <c r="A273" t="s">
        <v>212</v>
      </c>
      <c r="B273" t="s">
        <v>14</v>
      </c>
      <c r="C273" s="5">
        <v>45447</v>
      </c>
      <c r="D273" t="s">
        <v>15</v>
      </c>
      <c r="E273" t="s">
        <v>36</v>
      </c>
      <c r="F273">
        <v>3948</v>
      </c>
      <c r="G273">
        <v>151</v>
      </c>
      <c r="H273">
        <v>249</v>
      </c>
      <c r="I273">
        <v>43147</v>
      </c>
      <c r="J273">
        <v>63136</v>
      </c>
      <c r="K273">
        <v>230</v>
      </c>
      <c r="L273" t="s">
        <v>21</v>
      </c>
      <c r="M273" t="s">
        <v>22</v>
      </c>
      <c r="N273" s="11">
        <f t="shared" si="8"/>
        <v>0.10077178019329269</v>
      </c>
      <c r="O273">
        <f t="shared" si="9"/>
        <v>155</v>
      </c>
    </row>
    <row r="274" spans="1:15">
      <c r="A274" t="s">
        <v>213</v>
      </c>
      <c r="B274" t="s">
        <v>364</v>
      </c>
      <c r="C274" s="5">
        <v>45749</v>
      </c>
      <c r="D274" t="s">
        <v>15</v>
      </c>
      <c r="E274" t="s">
        <v>29</v>
      </c>
      <c r="F274">
        <v>4598</v>
      </c>
      <c r="G274">
        <v>455</v>
      </c>
      <c r="H274">
        <v>378</v>
      </c>
      <c r="I274">
        <v>52952</v>
      </c>
      <c r="J274">
        <v>58504</v>
      </c>
      <c r="K274">
        <v>269</v>
      </c>
      <c r="L274" t="s">
        <v>21</v>
      </c>
      <c r="M274" t="s">
        <v>22</v>
      </c>
      <c r="N274" s="11">
        <f t="shared" si="8"/>
        <v>0.10256458679558846</v>
      </c>
      <c r="O274">
        <f t="shared" si="9"/>
        <v>79</v>
      </c>
    </row>
    <row r="275" spans="1:15">
      <c r="A275" t="s">
        <v>213</v>
      </c>
      <c r="B275" t="s">
        <v>364</v>
      </c>
      <c r="C275" s="5">
        <v>45749</v>
      </c>
      <c r="D275" t="s">
        <v>15</v>
      </c>
      <c r="E275" t="s">
        <v>29</v>
      </c>
      <c r="F275">
        <v>4598</v>
      </c>
      <c r="G275">
        <v>455</v>
      </c>
      <c r="H275">
        <v>378</v>
      </c>
      <c r="I275">
        <v>52952</v>
      </c>
      <c r="J275">
        <v>58504</v>
      </c>
      <c r="K275">
        <v>269</v>
      </c>
      <c r="L275" t="s">
        <v>366</v>
      </c>
      <c r="M275" t="s">
        <v>22</v>
      </c>
      <c r="N275" s="11">
        <f t="shared" si="8"/>
        <v>0.10256458679558846</v>
      </c>
      <c r="O275">
        <f t="shared" si="9"/>
        <v>79</v>
      </c>
    </row>
    <row r="276" spans="1:15">
      <c r="A276" t="s">
        <v>214</v>
      </c>
      <c r="B276" t="s">
        <v>24</v>
      </c>
      <c r="C276" s="5">
        <v>45748</v>
      </c>
      <c r="D276" t="s">
        <v>25</v>
      </c>
      <c r="E276" t="s">
        <v>31</v>
      </c>
      <c r="F276">
        <v>2665</v>
      </c>
      <c r="G276">
        <v>143</v>
      </c>
      <c r="H276">
        <v>315</v>
      </c>
      <c r="I276">
        <v>54808</v>
      </c>
      <c r="J276">
        <v>29818</v>
      </c>
      <c r="K276">
        <v>98</v>
      </c>
      <c r="L276" t="s">
        <v>21</v>
      </c>
      <c r="M276" t="s">
        <v>18</v>
      </c>
      <c r="N276" s="11">
        <f t="shared" si="8"/>
        <v>5.6980732739746021E-2</v>
      </c>
      <c r="O276">
        <f t="shared" si="9"/>
        <v>442</v>
      </c>
    </row>
    <row r="277" spans="1:15">
      <c r="A277" t="s">
        <v>214</v>
      </c>
      <c r="B277" t="s">
        <v>24</v>
      </c>
      <c r="C277" s="5">
        <v>45748</v>
      </c>
      <c r="D277" t="s">
        <v>25</v>
      </c>
      <c r="E277" t="s">
        <v>31</v>
      </c>
      <c r="F277">
        <v>2665</v>
      </c>
      <c r="G277">
        <v>143</v>
      </c>
      <c r="H277">
        <v>315</v>
      </c>
      <c r="I277">
        <v>54808</v>
      </c>
      <c r="J277">
        <v>29818</v>
      </c>
      <c r="K277">
        <v>98</v>
      </c>
      <c r="L277" t="s">
        <v>365</v>
      </c>
      <c r="M277" t="s">
        <v>18</v>
      </c>
      <c r="N277" s="11">
        <f t="shared" si="8"/>
        <v>5.6980732739746021E-2</v>
      </c>
      <c r="O277">
        <f t="shared" si="9"/>
        <v>442</v>
      </c>
    </row>
    <row r="278" spans="1:15">
      <c r="A278" t="s">
        <v>215</v>
      </c>
      <c r="B278" t="s">
        <v>14</v>
      </c>
      <c r="C278" s="5">
        <v>45475</v>
      </c>
      <c r="D278" t="s">
        <v>15</v>
      </c>
      <c r="E278" t="s">
        <v>40</v>
      </c>
      <c r="F278">
        <v>3469</v>
      </c>
      <c r="G278">
        <v>371</v>
      </c>
      <c r="H278">
        <v>76</v>
      </c>
      <c r="I278">
        <v>46493</v>
      </c>
      <c r="J278">
        <v>26906</v>
      </c>
      <c r="K278">
        <v>150</v>
      </c>
      <c r="L278" t="s">
        <v>44</v>
      </c>
      <c r="M278" t="s">
        <v>18</v>
      </c>
      <c r="N278" s="11">
        <f t="shared" si="8"/>
        <v>8.4227733207149463E-2</v>
      </c>
      <c r="O278">
        <f t="shared" si="9"/>
        <v>340</v>
      </c>
    </row>
    <row r="279" spans="1:15">
      <c r="A279" t="s">
        <v>215</v>
      </c>
      <c r="B279" t="s">
        <v>14</v>
      </c>
      <c r="C279" s="5">
        <v>45475</v>
      </c>
      <c r="D279" t="s">
        <v>15</v>
      </c>
      <c r="E279" t="s">
        <v>40</v>
      </c>
      <c r="F279">
        <v>3469</v>
      </c>
      <c r="G279">
        <v>371</v>
      </c>
      <c r="H279">
        <v>76</v>
      </c>
      <c r="I279">
        <v>46493</v>
      </c>
      <c r="J279">
        <v>26906</v>
      </c>
      <c r="K279">
        <v>150</v>
      </c>
      <c r="L279" t="s">
        <v>41</v>
      </c>
      <c r="M279" t="s">
        <v>18</v>
      </c>
      <c r="N279" s="11">
        <f t="shared" si="8"/>
        <v>8.4227733207149463E-2</v>
      </c>
      <c r="O279">
        <f t="shared" si="9"/>
        <v>340</v>
      </c>
    </row>
    <row r="280" spans="1:15">
      <c r="A280" t="s">
        <v>216</v>
      </c>
      <c r="B280" t="s">
        <v>24</v>
      </c>
      <c r="C280" s="5">
        <v>45606</v>
      </c>
      <c r="D280" t="s">
        <v>15</v>
      </c>
      <c r="E280" t="s">
        <v>20</v>
      </c>
      <c r="F280">
        <v>4823</v>
      </c>
      <c r="G280">
        <v>489</v>
      </c>
      <c r="H280">
        <v>302</v>
      </c>
      <c r="I280">
        <v>32470</v>
      </c>
      <c r="J280">
        <v>31861</v>
      </c>
      <c r="K280">
        <v>178</v>
      </c>
      <c r="L280" t="s">
        <v>44</v>
      </c>
      <c r="M280" t="s">
        <v>22</v>
      </c>
      <c r="N280" s="11">
        <f t="shared" si="8"/>
        <v>0.1728980597474592</v>
      </c>
      <c r="O280">
        <f t="shared" si="9"/>
        <v>266</v>
      </c>
    </row>
    <row r="281" spans="1:15">
      <c r="A281" t="s">
        <v>217</v>
      </c>
      <c r="B281" t="s">
        <v>14</v>
      </c>
      <c r="C281" s="5">
        <v>45640</v>
      </c>
      <c r="D281" t="s">
        <v>25</v>
      </c>
      <c r="E281" t="s">
        <v>48</v>
      </c>
      <c r="F281">
        <v>3812</v>
      </c>
      <c r="G281">
        <v>321</v>
      </c>
      <c r="H281">
        <v>289</v>
      </c>
      <c r="I281">
        <v>59838</v>
      </c>
      <c r="J281">
        <v>36337</v>
      </c>
      <c r="K281">
        <v>161</v>
      </c>
      <c r="L281" t="s">
        <v>41</v>
      </c>
      <c r="M281" t="s">
        <v>54</v>
      </c>
      <c r="N281" s="11">
        <f t="shared" si="8"/>
        <v>7.3899528727564417E-2</v>
      </c>
      <c r="O281">
        <f t="shared" si="9"/>
        <v>313</v>
      </c>
    </row>
    <row r="282" spans="1:15">
      <c r="A282" t="s">
        <v>218</v>
      </c>
      <c r="B282" t="s">
        <v>24</v>
      </c>
      <c r="C282" s="5">
        <v>45615</v>
      </c>
      <c r="D282" t="s">
        <v>15</v>
      </c>
      <c r="E282" t="s">
        <v>20</v>
      </c>
      <c r="F282">
        <v>2387</v>
      </c>
      <c r="G282">
        <v>353</v>
      </c>
      <c r="H282">
        <v>78</v>
      </c>
      <c r="I282">
        <v>39745</v>
      </c>
      <c r="J282">
        <v>69226</v>
      </c>
      <c r="K282">
        <v>208</v>
      </c>
      <c r="L282" t="s">
        <v>44</v>
      </c>
      <c r="M282" t="s">
        <v>22</v>
      </c>
      <c r="N282" s="11">
        <f t="shared" si="8"/>
        <v>7.090200025160398E-2</v>
      </c>
      <c r="O282">
        <f t="shared" si="9"/>
        <v>208</v>
      </c>
    </row>
    <row r="283" spans="1:15">
      <c r="A283" t="s">
        <v>219</v>
      </c>
      <c r="B283" t="s">
        <v>24</v>
      </c>
      <c r="C283" s="5">
        <v>45777</v>
      </c>
      <c r="D283" t="s">
        <v>25</v>
      </c>
      <c r="E283" t="s">
        <v>29</v>
      </c>
      <c r="F283">
        <v>3929</v>
      </c>
      <c r="G283">
        <v>275</v>
      </c>
      <c r="H283">
        <v>330</v>
      </c>
      <c r="I283">
        <v>58329</v>
      </c>
      <c r="J283">
        <v>33196</v>
      </c>
      <c r="K283">
        <v>85</v>
      </c>
      <c r="L283" t="s">
        <v>365</v>
      </c>
      <c r="M283" t="s">
        <v>18</v>
      </c>
      <c r="N283" s="11">
        <f t="shared" si="8"/>
        <v>7.7731488624869283E-2</v>
      </c>
      <c r="O283">
        <f t="shared" si="9"/>
        <v>469</v>
      </c>
    </row>
    <row r="284" spans="1:15">
      <c r="A284" t="s">
        <v>219</v>
      </c>
      <c r="B284" t="s">
        <v>24</v>
      </c>
      <c r="C284" s="5">
        <v>45777</v>
      </c>
      <c r="D284" t="s">
        <v>25</v>
      </c>
      <c r="E284" t="s">
        <v>29</v>
      </c>
      <c r="F284">
        <v>3929</v>
      </c>
      <c r="G284">
        <v>275</v>
      </c>
      <c r="H284">
        <v>330</v>
      </c>
      <c r="I284">
        <v>58329</v>
      </c>
      <c r="J284">
        <v>33196</v>
      </c>
      <c r="K284">
        <v>85</v>
      </c>
      <c r="L284" t="s">
        <v>41</v>
      </c>
      <c r="M284" t="s">
        <v>18</v>
      </c>
      <c r="N284" s="11">
        <f t="shared" si="8"/>
        <v>7.7731488624869283E-2</v>
      </c>
      <c r="O284">
        <f t="shared" si="9"/>
        <v>469</v>
      </c>
    </row>
    <row r="285" spans="1:15">
      <c r="A285" t="s">
        <v>220</v>
      </c>
      <c r="B285" t="s">
        <v>24</v>
      </c>
      <c r="C285" s="5">
        <v>45370</v>
      </c>
      <c r="D285" t="s">
        <v>15</v>
      </c>
      <c r="E285" t="s">
        <v>48</v>
      </c>
      <c r="F285">
        <v>2191</v>
      </c>
      <c r="G285">
        <v>288</v>
      </c>
      <c r="H285">
        <v>83</v>
      </c>
      <c r="I285">
        <v>59606</v>
      </c>
      <c r="J285">
        <v>24765</v>
      </c>
      <c r="K285">
        <v>281</v>
      </c>
      <c r="L285" t="s">
        <v>44</v>
      </c>
      <c r="M285" t="s">
        <v>22</v>
      </c>
      <c r="N285" s="11">
        <f t="shared" si="8"/>
        <v>4.2982250109049422E-2</v>
      </c>
      <c r="O285">
        <f t="shared" si="9"/>
        <v>43</v>
      </c>
    </row>
    <row r="286" spans="1:15">
      <c r="A286" t="s">
        <v>221</v>
      </c>
      <c r="B286" t="s">
        <v>14</v>
      </c>
      <c r="C286" s="5">
        <v>45370</v>
      </c>
      <c r="D286" t="s">
        <v>15</v>
      </c>
      <c r="E286" t="s">
        <v>48</v>
      </c>
      <c r="F286">
        <v>2878</v>
      </c>
      <c r="G286">
        <v>278</v>
      </c>
      <c r="H286">
        <v>255</v>
      </c>
      <c r="I286">
        <v>47235</v>
      </c>
      <c r="J286">
        <v>57922</v>
      </c>
      <c r="K286">
        <v>112</v>
      </c>
      <c r="L286" t="s">
        <v>44</v>
      </c>
      <c r="M286" t="s">
        <v>18</v>
      </c>
      <c r="N286" s="11">
        <f t="shared" si="8"/>
        <v>7.2213401079707848E-2</v>
      </c>
      <c r="O286">
        <f t="shared" si="9"/>
        <v>412</v>
      </c>
    </row>
    <row r="287" spans="1:15">
      <c r="A287" t="s">
        <v>221</v>
      </c>
      <c r="B287" t="s">
        <v>14</v>
      </c>
      <c r="C287" s="5">
        <v>45370</v>
      </c>
      <c r="D287" t="s">
        <v>15</v>
      </c>
      <c r="E287" t="s">
        <v>48</v>
      </c>
      <c r="F287">
        <v>2878</v>
      </c>
      <c r="G287">
        <v>278</v>
      </c>
      <c r="H287">
        <v>255</v>
      </c>
      <c r="I287">
        <v>47235</v>
      </c>
      <c r="J287">
        <v>57922</v>
      </c>
      <c r="K287">
        <v>112</v>
      </c>
      <c r="L287" t="s">
        <v>41</v>
      </c>
      <c r="M287" t="s">
        <v>18</v>
      </c>
      <c r="N287" s="11">
        <f t="shared" si="8"/>
        <v>7.2213401079707848E-2</v>
      </c>
      <c r="O287">
        <f t="shared" si="9"/>
        <v>412</v>
      </c>
    </row>
    <row r="288" spans="1:15">
      <c r="A288" t="s">
        <v>222</v>
      </c>
      <c r="B288" t="s">
        <v>24</v>
      </c>
      <c r="C288" s="5">
        <v>45496</v>
      </c>
      <c r="D288" t="s">
        <v>15</v>
      </c>
      <c r="E288" t="s">
        <v>40</v>
      </c>
      <c r="F288">
        <v>3204</v>
      </c>
      <c r="G288">
        <v>398</v>
      </c>
      <c r="H288">
        <v>85</v>
      </c>
      <c r="I288">
        <v>22020</v>
      </c>
      <c r="J288">
        <v>58353</v>
      </c>
      <c r="K288">
        <v>286</v>
      </c>
      <c r="L288" t="s">
        <v>44</v>
      </c>
      <c r="M288" t="s">
        <v>22</v>
      </c>
      <c r="N288" s="11">
        <f t="shared" si="8"/>
        <v>0.16743869209809265</v>
      </c>
      <c r="O288">
        <f t="shared" si="9"/>
        <v>33</v>
      </c>
    </row>
    <row r="289" spans="1:15">
      <c r="A289" t="s">
        <v>223</v>
      </c>
      <c r="B289" t="s">
        <v>24</v>
      </c>
      <c r="C289" s="5">
        <v>45486</v>
      </c>
      <c r="D289" t="s">
        <v>25</v>
      </c>
      <c r="E289" t="s">
        <v>36</v>
      </c>
      <c r="F289">
        <v>2408</v>
      </c>
      <c r="G289">
        <v>323</v>
      </c>
      <c r="H289">
        <v>251</v>
      </c>
      <c r="I289">
        <v>47599</v>
      </c>
      <c r="J289">
        <v>35543</v>
      </c>
      <c r="K289">
        <v>287</v>
      </c>
      <c r="L289" t="s">
        <v>365</v>
      </c>
      <c r="M289" t="s">
        <v>18</v>
      </c>
      <c r="N289" s="11">
        <f t="shared" si="8"/>
        <v>6.2648374965860634E-2</v>
      </c>
      <c r="O289">
        <f t="shared" si="9"/>
        <v>29</v>
      </c>
    </row>
    <row r="290" spans="1:15">
      <c r="A290" t="s">
        <v>223</v>
      </c>
      <c r="B290" t="s">
        <v>24</v>
      </c>
      <c r="C290" s="5">
        <v>45486</v>
      </c>
      <c r="D290" t="s">
        <v>25</v>
      </c>
      <c r="E290" t="s">
        <v>36</v>
      </c>
      <c r="F290">
        <v>2408</v>
      </c>
      <c r="G290">
        <v>323</v>
      </c>
      <c r="H290">
        <v>251</v>
      </c>
      <c r="I290">
        <v>47599</v>
      </c>
      <c r="J290">
        <v>35543</v>
      </c>
      <c r="K290">
        <v>287</v>
      </c>
      <c r="L290" t="s">
        <v>41</v>
      </c>
      <c r="M290" t="s">
        <v>18</v>
      </c>
      <c r="N290" s="11">
        <f t="shared" si="8"/>
        <v>6.2648374965860634E-2</v>
      </c>
      <c r="O290">
        <f t="shared" si="9"/>
        <v>29</v>
      </c>
    </row>
    <row r="291" spans="1:15">
      <c r="A291" t="s">
        <v>224</v>
      </c>
      <c r="B291" t="s">
        <v>364</v>
      </c>
      <c r="C291" s="5">
        <v>45769</v>
      </c>
      <c r="D291" t="s">
        <v>56</v>
      </c>
      <c r="E291" t="s">
        <v>26</v>
      </c>
      <c r="F291">
        <v>2733</v>
      </c>
      <c r="G291">
        <v>297</v>
      </c>
      <c r="H291">
        <v>235</v>
      </c>
      <c r="I291">
        <v>37980</v>
      </c>
      <c r="J291">
        <v>33058</v>
      </c>
      <c r="K291">
        <v>219</v>
      </c>
      <c r="L291" t="s">
        <v>21</v>
      </c>
      <c r="M291" t="s">
        <v>58</v>
      </c>
      <c r="N291" s="11">
        <f t="shared" si="8"/>
        <v>8.5966298051606105E-2</v>
      </c>
      <c r="O291">
        <f t="shared" si="9"/>
        <v>180</v>
      </c>
    </row>
    <row r="292" spans="1:15">
      <c r="A292" t="s">
        <v>224</v>
      </c>
      <c r="B292" t="s">
        <v>364</v>
      </c>
      <c r="C292" s="5">
        <v>45769</v>
      </c>
      <c r="D292" t="s">
        <v>56</v>
      </c>
      <c r="E292" t="s">
        <v>26</v>
      </c>
      <c r="F292">
        <v>2733</v>
      </c>
      <c r="G292">
        <v>297</v>
      </c>
      <c r="H292">
        <v>235</v>
      </c>
      <c r="I292">
        <v>37980</v>
      </c>
      <c r="J292">
        <v>33058</v>
      </c>
      <c r="K292">
        <v>219</v>
      </c>
      <c r="L292" t="s">
        <v>44</v>
      </c>
      <c r="M292" t="s">
        <v>58</v>
      </c>
      <c r="N292" s="11">
        <f t="shared" si="8"/>
        <v>8.5966298051606105E-2</v>
      </c>
      <c r="O292">
        <f t="shared" si="9"/>
        <v>180</v>
      </c>
    </row>
    <row r="293" spans="1:15">
      <c r="A293" t="s">
        <v>225</v>
      </c>
      <c r="B293" t="s">
        <v>24</v>
      </c>
      <c r="C293" s="5">
        <v>45459</v>
      </c>
      <c r="D293" t="s">
        <v>25</v>
      </c>
      <c r="E293" t="s">
        <v>20</v>
      </c>
      <c r="F293">
        <v>4618</v>
      </c>
      <c r="G293">
        <v>312</v>
      </c>
      <c r="H293">
        <v>254</v>
      </c>
      <c r="I293">
        <v>22571</v>
      </c>
      <c r="J293">
        <v>29453</v>
      </c>
      <c r="K293">
        <v>197</v>
      </c>
      <c r="L293" t="s">
        <v>365</v>
      </c>
      <c r="M293" t="s">
        <v>18</v>
      </c>
      <c r="N293" s="11">
        <f t="shared" si="8"/>
        <v>0.22967524699836073</v>
      </c>
      <c r="O293">
        <f t="shared" si="9"/>
        <v>232</v>
      </c>
    </row>
    <row r="294" spans="1:15">
      <c r="A294" t="s">
        <v>225</v>
      </c>
      <c r="B294" t="s">
        <v>24</v>
      </c>
      <c r="C294" s="5">
        <v>45459</v>
      </c>
      <c r="D294" t="s">
        <v>25</v>
      </c>
      <c r="E294" t="s">
        <v>20</v>
      </c>
      <c r="F294">
        <v>4618</v>
      </c>
      <c r="G294">
        <v>312</v>
      </c>
      <c r="H294">
        <v>254</v>
      </c>
      <c r="I294">
        <v>22571</v>
      </c>
      <c r="J294">
        <v>29453</v>
      </c>
      <c r="K294">
        <v>197</v>
      </c>
      <c r="L294" t="s">
        <v>41</v>
      </c>
      <c r="M294" t="s">
        <v>18</v>
      </c>
      <c r="N294" s="11">
        <f t="shared" si="8"/>
        <v>0.22967524699836073</v>
      </c>
      <c r="O294">
        <f t="shared" si="9"/>
        <v>232</v>
      </c>
    </row>
    <row r="295" spans="1:15">
      <c r="A295" t="s">
        <v>226</v>
      </c>
      <c r="B295" t="s">
        <v>364</v>
      </c>
      <c r="C295" s="5">
        <v>45795</v>
      </c>
      <c r="D295" t="s">
        <v>56</v>
      </c>
      <c r="E295" t="s">
        <v>29</v>
      </c>
      <c r="F295">
        <v>4210</v>
      </c>
      <c r="G295">
        <v>319</v>
      </c>
      <c r="H295">
        <v>350</v>
      </c>
      <c r="I295">
        <v>37762</v>
      </c>
      <c r="J295">
        <v>55162</v>
      </c>
      <c r="K295">
        <v>204</v>
      </c>
      <c r="L295" t="s">
        <v>21</v>
      </c>
      <c r="M295" t="s">
        <v>58</v>
      </c>
      <c r="N295" s="11">
        <f t="shared" si="8"/>
        <v>0.12920396165457337</v>
      </c>
      <c r="O295">
        <f t="shared" si="9"/>
        <v>221</v>
      </c>
    </row>
    <row r="296" spans="1:15">
      <c r="A296" t="s">
        <v>226</v>
      </c>
      <c r="B296" t="s">
        <v>364</v>
      </c>
      <c r="C296" s="5">
        <v>45795</v>
      </c>
      <c r="D296" t="s">
        <v>56</v>
      </c>
      <c r="E296" t="s">
        <v>29</v>
      </c>
      <c r="F296">
        <v>4210</v>
      </c>
      <c r="G296">
        <v>319</v>
      </c>
      <c r="H296">
        <v>350</v>
      </c>
      <c r="I296">
        <v>37762</v>
      </c>
      <c r="J296">
        <v>55162</v>
      </c>
      <c r="K296">
        <v>204</v>
      </c>
      <c r="L296" t="s">
        <v>44</v>
      </c>
      <c r="M296" t="s">
        <v>58</v>
      </c>
      <c r="N296" s="11">
        <f t="shared" si="8"/>
        <v>0.12920396165457337</v>
      </c>
      <c r="O296">
        <f t="shared" si="9"/>
        <v>221</v>
      </c>
    </row>
    <row r="297" spans="1:15">
      <c r="A297" t="s">
        <v>227</v>
      </c>
      <c r="B297" t="s">
        <v>14</v>
      </c>
      <c r="C297" s="5">
        <v>45814</v>
      </c>
      <c r="D297" t="s">
        <v>15</v>
      </c>
      <c r="E297" t="s">
        <v>29</v>
      </c>
      <c r="F297">
        <v>3987</v>
      </c>
      <c r="G297">
        <v>171</v>
      </c>
      <c r="H297">
        <v>274</v>
      </c>
      <c r="I297">
        <v>45122</v>
      </c>
      <c r="J297">
        <v>65431</v>
      </c>
      <c r="K297">
        <v>168</v>
      </c>
      <c r="L297" t="s">
        <v>21</v>
      </c>
      <c r="M297" t="s">
        <v>22</v>
      </c>
      <c r="N297" s="11">
        <f t="shared" si="8"/>
        <v>9.8222596516111871E-2</v>
      </c>
      <c r="O297">
        <f t="shared" si="9"/>
        <v>300</v>
      </c>
    </row>
    <row r="298" spans="1:15">
      <c r="A298" t="s">
        <v>228</v>
      </c>
      <c r="B298" t="s">
        <v>364</v>
      </c>
      <c r="C298" s="5">
        <v>45708</v>
      </c>
      <c r="D298" t="s">
        <v>56</v>
      </c>
      <c r="E298" t="s">
        <v>36</v>
      </c>
      <c r="F298">
        <v>4957</v>
      </c>
      <c r="G298">
        <v>262</v>
      </c>
      <c r="H298">
        <v>365</v>
      </c>
      <c r="I298">
        <v>49199</v>
      </c>
      <c r="J298">
        <v>40314</v>
      </c>
      <c r="K298">
        <v>216</v>
      </c>
      <c r="L298" t="s">
        <v>21</v>
      </c>
      <c r="M298" t="s">
        <v>58</v>
      </c>
      <c r="N298" s="11">
        <f t="shared" si="8"/>
        <v>0.11349824183418362</v>
      </c>
      <c r="O298">
        <f t="shared" si="9"/>
        <v>185</v>
      </c>
    </row>
    <row r="299" spans="1:15">
      <c r="A299" t="s">
        <v>228</v>
      </c>
      <c r="B299" t="s">
        <v>364</v>
      </c>
      <c r="C299" s="5">
        <v>45708</v>
      </c>
      <c r="D299" t="s">
        <v>56</v>
      </c>
      <c r="E299" t="s">
        <v>36</v>
      </c>
      <c r="F299">
        <v>4957</v>
      </c>
      <c r="G299">
        <v>262</v>
      </c>
      <c r="H299">
        <v>365</v>
      </c>
      <c r="I299">
        <v>49199</v>
      </c>
      <c r="J299">
        <v>40314</v>
      </c>
      <c r="K299">
        <v>216</v>
      </c>
      <c r="L299" t="s">
        <v>44</v>
      </c>
      <c r="M299" t="s">
        <v>58</v>
      </c>
      <c r="N299" s="11">
        <f t="shared" si="8"/>
        <v>0.11349824183418362</v>
      </c>
      <c r="O299">
        <f t="shared" si="9"/>
        <v>185</v>
      </c>
    </row>
    <row r="300" spans="1:15">
      <c r="A300" t="s">
        <v>229</v>
      </c>
      <c r="B300" t="s">
        <v>14</v>
      </c>
      <c r="C300" s="5">
        <v>45673</v>
      </c>
      <c r="D300" t="s">
        <v>15</v>
      </c>
      <c r="E300" t="s">
        <v>31</v>
      </c>
      <c r="F300">
        <v>2605</v>
      </c>
      <c r="G300">
        <v>282</v>
      </c>
      <c r="H300">
        <v>148</v>
      </c>
      <c r="I300">
        <v>32201</v>
      </c>
      <c r="J300">
        <v>49583</v>
      </c>
      <c r="K300">
        <v>241</v>
      </c>
      <c r="L300" t="s">
        <v>44</v>
      </c>
      <c r="M300" t="s">
        <v>18</v>
      </c>
      <c r="N300" s="11">
        <f t="shared" si="8"/>
        <v>9.4251731312692155E-2</v>
      </c>
      <c r="O300">
        <f t="shared" si="9"/>
        <v>126</v>
      </c>
    </row>
    <row r="301" spans="1:15">
      <c r="A301" t="s">
        <v>229</v>
      </c>
      <c r="B301" t="s">
        <v>14</v>
      </c>
      <c r="C301" s="5">
        <v>45673</v>
      </c>
      <c r="D301" t="s">
        <v>15</v>
      </c>
      <c r="E301" t="s">
        <v>31</v>
      </c>
      <c r="F301">
        <v>2605</v>
      </c>
      <c r="G301">
        <v>282</v>
      </c>
      <c r="H301">
        <v>148</v>
      </c>
      <c r="I301">
        <v>32201</v>
      </c>
      <c r="J301">
        <v>49583</v>
      </c>
      <c r="K301">
        <v>241</v>
      </c>
      <c r="L301" t="s">
        <v>41</v>
      </c>
      <c r="M301" t="s">
        <v>18</v>
      </c>
      <c r="N301" s="11">
        <f t="shared" si="8"/>
        <v>9.4251731312692155E-2</v>
      </c>
      <c r="O301">
        <f t="shared" si="9"/>
        <v>126</v>
      </c>
    </row>
    <row r="302" spans="1:15">
      <c r="A302" t="s">
        <v>230</v>
      </c>
      <c r="B302" t="s">
        <v>364</v>
      </c>
      <c r="C302" s="5">
        <v>45346</v>
      </c>
      <c r="D302" t="s">
        <v>56</v>
      </c>
      <c r="E302" t="s">
        <v>16</v>
      </c>
      <c r="F302">
        <v>4221</v>
      </c>
      <c r="G302">
        <v>307</v>
      </c>
      <c r="H302">
        <v>58</v>
      </c>
      <c r="I302">
        <v>45080</v>
      </c>
      <c r="J302">
        <v>37214</v>
      </c>
      <c r="K302">
        <v>240</v>
      </c>
      <c r="L302" t="s">
        <v>21</v>
      </c>
      <c r="M302" t="s">
        <v>58</v>
      </c>
      <c r="N302" s="11">
        <f t="shared" si="8"/>
        <v>0.10173025732031943</v>
      </c>
      <c r="O302">
        <f t="shared" si="9"/>
        <v>129</v>
      </c>
    </row>
    <row r="303" spans="1:15">
      <c r="A303" t="s">
        <v>230</v>
      </c>
      <c r="B303" t="s">
        <v>364</v>
      </c>
      <c r="C303" s="5">
        <v>45346</v>
      </c>
      <c r="D303" t="s">
        <v>56</v>
      </c>
      <c r="E303" t="s">
        <v>16</v>
      </c>
      <c r="F303">
        <v>4221</v>
      </c>
      <c r="G303">
        <v>307</v>
      </c>
      <c r="H303">
        <v>58</v>
      </c>
      <c r="I303">
        <v>45080</v>
      </c>
      <c r="J303">
        <v>37214</v>
      </c>
      <c r="K303">
        <v>240</v>
      </c>
      <c r="L303" t="s">
        <v>44</v>
      </c>
      <c r="M303" t="s">
        <v>58</v>
      </c>
      <c r="N303" s="11">
        <f t="shared" si="8"/>
        <v>0.10173025732031943</v>
      </c>
      <c r="O303">
        <f t="shared" si="9"/>
        <v>129</v>
      </c>
    </row>
    <row r="304" spans="1:15">
      <c r="A304" t="s">
        <v>231</v>
      </c>
      <c r="B304" t="s">
        <v>24</v>
      </c>
      <c r="C304" s="5">
        <v>45551</v>
      </c>
      <c r="D304" t="s">
        <v>25</v>
      </c>
      <c r="E304" t="s">
        <v>34</v>
      </c>
      <c r="F304">
        <v>4422</v>
      </c>
      <c r="G304">
        <v>434</v>
      </c>
      <c r="H304">
        <v>156</v>
      </c>
      <c r="I304">
        <v>56165</v>
      </c>
      <c r="J304">
        <v>52431</v>
      </c>
      <c r="K304">
        <v>173</v>
      </c>
      <c r="L304" t="s">
        <v>21</v>
      </c>
      <c r="M304" t="s">
        <v>18</v>
      </c>
      <c r="N304" s="11">
        <f t="shared" si="8"/>
        <v>8.9237069349238848E-2</v>
      </c>
      <c r="O304">
        <f t="shared" si="9"/>
        <v>283</v>
      </c>
    </row>
    <row r="305" spans="1:15">
      <c r="A305" t="s">
        <v>231</v>
      </c>
      <c r="B305" t="s">
        <v>24</v>
      </c>
      <c r="C305" s="5">
        <v>45551</v>
      </c>
      <c r="D305" t="s">
        <v>25</v>
      </c>
      <c r="E305" t="s">
        <v>34</v>
      </c>
      <c r="F305">
        <v>4422</v>
      </c>
      <c r="G305">
        <v>434</v>
      </c>
      <c r="H305">
        <v>156</v>
      </c>
      <c r="I305">
        <v>56165</v>
      </c>
      <c r="J305">
        <v>52431</v>
      </c>
      <c r="K305">
        <v>173</v>
      </c>
      <c r="L305" t="s">
        <v>365</v>
      </c>
      <c r="M305" t="s">
        <v>18</v>
      </c>
      <c r="N305" s="11">
        <f t="shared" si="8"/>
        <v>8.9237069349238848E-2</v>
      </c>
      <c r="O305">
        <f t="shared" si="9"/>
        <v>283</v>
      </c>
    </row>
    <row r="306" spans="1:15">
      <c r="A306" t="s">
        <v>232</v>
      </c>
      <c r="B306" t="s">
        <v>364</v>
      </c>
      <c r="C306" s="5">
        <v>45447</v>
      </c>
      <c r="D306" t="s">
        <v>56</v>
      </c>
      <c r="E306" t="s">
        <v>29</v>
      </c>
      <c r="F306">
        <v>1211</v>
      </c>
      <c r="G306">
        <v>431</v>
      </c>
      <c r="H306">
        <v>83</v>
      </c>
      <c r="I306">
        <v>26532</v>
      </c>
      <c r="J306">
        <v>47305</v>
      </c>
      <c r="K306">
        <v>232</v>
      </c>
      <c r="L306" t="s">
        <v>21</v>
      </c>
      <c r="M306" t="s">
        <v>58</v>
      </c>
      <c r="N306" s="11">
        <f t="shared" si="8"/>
        <v>6.5015829941203071E-2</v>
      </c>
      <c r="O306">
        <f t="shared" si="9"/>
        <v>148</v>
      </c>
    </row>
    <row r="307" spans="1:15">
      <c r="A307" t="s">
        <v>232</v>
      </c>
      <c r="B307" t="s">
        <v>364</v>
      </c>
      <c r="C307" s="5">
        <v>45447</v>
      </c>
      <c r="D307" t="s">
        <v>56</v>
      </c>
      <c r="E307" t="s">
        <v>29</v>
      </c>
      <c r="F307">
        <v>1211</v>
      </c>
      <c r="G307">
        <v>431</v>
      </c>
      <c r="H307">
        <v>83</v>
      </c>
      <c r="I307">
        <v>26532</v>
      </c>
      <c r="J307">
        <v>47305</v>
      </c>
      <c r="K307">
        <v>232</v>
      </c>
      <c r="L307" t="s">
        <v>44</v>
      </c>
      <c r="M307" t="s">
        <v>58</v>
      </c>
      <c r="N307" s="11">
        <f t="shared" si="8"/>
        <v>6.5015829941203071E-2</v>
      </c>
      <c r="O307">
        <f t="shared" si="9"/>
        <v>148</v>
      </c>
    </row>
    <row r="308" spans="1:15">
      <c r="A308" t="s">
        <v>233</v>
      </c>
      <c r="B308" t="s">
        <v>24</v>
      </c>
      <c r="C308" s="5">
        <v>45422</v>
      </c>
      <c r="D308" t="s">
        <v>25</v>
      </c>
      <c r="E308" t="s">
        <v>20</v>
      </c>
      <c r="F308">
        <v>2784</v>
      </c>
      <c r="G308">
        <v>111</v>
      </c>
      <c r="H308">
        <v>399</v>
      </c>
      <c r="I308">
        <v>58366</v>
      </c>
      <c r="J308">
        <v>69512</v>
      </c>
      <c r="K308">
        <v>269</v>
      </c>
      <c r="L308" t="s">
        <v>365</v>
      </c>
      <c r="M308" t="s">
        <v>18</v>
      </c>
      <c r="N308" s="11">
        <f t="shared" si="8"/>
        <v>5.6436966727204191E-2</v>
      </c>
      <c r="O308">
        <f t="shared" si="9"/>
        <v>79</v>
      </c>
    </row>
    <row r="309" spans="1:15">
      <c r="A309" t="s">
        <v>233</v>
      </c>
      <c r="B309" t="s">
        <v>24</v>
      </c>
      <c r="C309" s="5">
        <v>45422</v>
      </c>
      <c r="D309" t="s">
        <v>25</v>
      </c>
      <c r="E309" t="s">
        <v>20</v>
      </c>
      <c r="F309">
        <v>2784</v>
      </c>
      <c r="G309">
        <v>111</v>
      </c>
      <c r="H309">
        <v>399</v>
      </c>
      <c r="I309">
        <v>58366</v>
      </c>
      <c r="J309">
        <v>69512</v>
      </c>
      <c r="K309">
        <v>269</v>
      </c>
      <c r="L309" t="s">
        <v>41</v>
      </c>
      <c r="M309" t="s">
        <v>18</v>
      </c>
      <c r="N309" s="11">
        <f t="shared" si="8"/>
        <v>5.6436966727204191E-2</v>
      </c>
      <c r="O309">
        <f t="shared" si="9"/>
        <v>79</v>
      </c>
    </row>
    <row r="310" spans="1:15">
      <c r="A310" t="s">
        <v>234</v>
      </c>
      <c r="B310" t="s">
        <v>364</v>
      </c>
      <c r="C310" s="5">
        <v>45305</v>
      </c>
      <c r="D310" t="s">
        <v>15</v>
      </c>
      <c r="E310" t="s">
        <v>26</v>
      </c>
      <c r="F310">
        <v>3634</v>
      </c>
      <c r="G310">
        <v>280</v>
      </c>
      <c r="H310">
        <v>399</v>
      </c>
      <c r="I310">
        <v>40256</v>
      </c>
      <c r="J310">
        <v>52605</v>
      </c>
      <c r="K310">
        <v>213</v>
      </c>
      <c r="L310" t="s">
        <v>21</v>
      </c>
      <c r="M310" t="s">
        <v>22</v>
      </c>
      <c r="N310" s="11">
        <f t="shared" si="8"/>
        <v>0.10713930842607314</v>
      </c>
      <c r="O310">
        <f t="shared" si="9"/>
        <v>193</v>
      </c>
    </row>
    <row r="311" spans="1:15">
      <c r="A311" t="s">
        <v>234</v>
      </c>
      <c r="B311" t="s">
        <v>364</v>
      </c>
      <c r="C311" s="5">
        <v>45305</v>
      </c>
      <c r="D311" t="s">
        <v>15</v>
      </c>
      <c r="E311" t="s">
        <v>26</v>
      </c>
      <c r="F311">
        <v>3634</v>
      </c>
      <c r="G311">
        <v>280</v>
      </c>
      <c r="H311">
        <v>399</v>
      </c>
      <c r="I311">
        <v>40256</v>
      </c>
      <c r="J311">
        <v>52605</v>
      </c>
      <c r="K311">
        <v>213</v>
      </c>
      <c r="L311" t="s">
        <v>366</v>
      </c>
      <c r="M311" t="s">
        <v>22</v>
      </c>
      <c r="N311" s="11">
        <f t="shared" si="8"/>
        <v>0.10713930842607314</v>
      </c>
      <c r="O311">
        <f t="shared" si="9"/>
        <v>193</v>
      </c>
    </row>
    <row r="312" spans="1:15">
      <c r="A312" t="s">
        <v>235</v>
      </c>
      <c r="B312" t="s">
        <v>14</v>
      </c>
      <c r="C312" s="5">
        <v>45669</v>
      </c>
      <c r="D312" t="s">
        <v>15</v>
      </c>
      <c r="E312" t="s">
        <v>48</v>
      </c>
      <c r="F312">
        <v>1771</v>
      </c>
      <c r="G312">
        <v>487</v>
      </c>
      <c r="H312">
        <v>272</v>
      </c>
      <c r="I312">
        <v>48810</v>
      </c>
      <c r="J312">
        <v>48084</v>
      </c>
      <c r="K312">
        <v>272</v>
      </c>
      <c r="L312" t="s">
        <v>44</v>
      </c>
      <c r="M312" t="s">
        <v>18</v>
      </c>
      <c r="N312" s="11">
        <f t="shared" si="8"/>
        <v>5.1833640647408315E-2</v>
      </c>
      <c r="O312">
        <f t="shared" si="9"/>
        <v>65</v>
      </c>
    </row>
    <row r="313" spans="1:15">
      <c r="A313" t="s">
        <v>235</v>
      </c>
      <c r="B313" t="s">
        <v>14</v>
      </c>
      <c r="C313" s="5">
        <v>45669</v>
      </c>
      <c r="D313" t="s">
        <v>15</v>
      </c>
      <c r="E313" t="s">
        <v>48</v>
      </c>
      <c r="F313">
        <v>1771</v>
      </c>
      <c r="G313">
        <v>487</v>
      </c>
      <c r="H313">
        <v>272</v>
      </c>
      <c r="I313">
        <v>48810</v>
      </c>
      <c r="J313">
        <v>48084</v>
      </c>
      <c r="K313">
        <v>272</v>
      </c>
      <c r="L313" t="s">
        <v>41</v>
      </c>
      <c r="M313" t="s">
        <v>18</v>
      </c>
      <c r="N313" s="11">
        <f t="shared" si="8"/>
        <v>5.1833640647408315E-2</v>
      </c>
      <c r="O313">
        <f t="shared" si="9"/>
        <v>65</v>
      </c>
    </row>
    <row r="314" spans="1:15">
      <c r="A314" t="s">
        <v>236</v>
      </c>
      <c r="B314" t="s">
        <v>364</v>
      </c>
      <c r="C314" s="5">
        <v>45634</v>
      </c>
      <c r="D314" t="s">
        <v>15</v>
      </c>
      <c r="E314" t="s">
        <v>40</v>
      </c>
      <c r="F314">
        <v>1424</v>
      </c>
      <c r="G314">
        <v>396</v>
      </c>
      <c r="H314">
        <v>312</v>
      </c>
      <c r="I314">
        <v>59517</v>
      </c>
      <c r="J314">
        <v>46102</v>
      </c>
      <c r="K314">
        <v>239</v>
      </c>
      <c r="L314" t="s">
        <v>21</v>
      </c>
      <c r="M314" t="s">
        <v>22</v>
      </c>
      <c r="N314" s="11">
        <f t="shared" si="8"/>
        <v>3.5821698002251455E-2</v>
      </c>
      <c r="O314">
        <f t="shared" si="9"/>
        <v>133</v>
      </c>
    </row>
    <row r="315" spans="1:15">
      <c r="A315" t="s">
        <v>236</v>
      </c>
      <c r="B315" t="s">
        <v>364</v>
      </c>
      <c r="C315" s="5">
        <v>45634</v>
      </c>
      <c r="D315" t="s">
        <v>15</v>
      </c>
      <c r="E315" t="s">
        <v>40</v>
      </c>
      <c r="F315">
        <v>1424</v>
      </c>
      <c r="G315">
        <v>396</v>
      </c>
      <c r="H315">
        <v>312</v>
      </c>
      <c r="I315">
        <v>59517</v>
      </c>
      <c r="J315">
        <v>46102</v>
      </c>
      <c r="K315">
        <v>239</v>
      </c>
      <c r="L315" t="s">
        <v>366</v>
      </c>
      <c r="M315" t="s">
        <v>22</v>
      </c>
      <c r="N315" s="11">
        <f t="shared" si="8"/>
        <v>3.5821698002251455E-2</v>
      </c>
      <c r="O315">
        <f t="shared" si="9"/>
        <v>133</v>
      </c>
    </row>
    <row r="316" spans="1:15">
      <c r="A316" t="s">
        <v>237</v>
      </c>
      <c r="B316" t="s">
        <v>24</v>
      </c>
      <c r="C316" s="5">
        <v>45689</v>
      </c>
      <c r="D316" t="s">
        <v>25</v>
      </c>
      <c r="E316" t="s">
        <v>40</v>
      </c>
      <c r="F316">
        <v>1079</v>
      </c>
      <c r="G316">
        <v>265</v>
      </c>
      <c r="H316">
        <v>190</v>
      </c>
      <c r="I316">
        <v>43786</v>
      </c>
      <c r="J316">
        <v>72428</v>
      </c>
      <c r="K316">
        <v>222</v>
      </c>
      <c r="L316" t="s">
        <v>44</v>
      </c>
      <c r="M316" t="s">
        <v>18</v>
      </c>
      <c r="N316" s="11">
        <f t="shared" si="8"/>
        <v>3.5034029141734799E-2</v>
      </c>
      <c r="O316">
        <f t="shared" si="9"/>
        <v>171</v>
      </c>
    </row>
    <row r="317" spans="1:15">
      <c r="A317" t="s">
        <v>237</v>
      </c>
      <c r="B317" t="s">
        <v>24</v>
      </c>
      <c r="C317" s="5">
        <v>45689</v>
      </c>
      <c r="D317" t="s">
        <v>25</v>
      </c>
      <c r="E317" t="s">
        <v>40</v>
      </c>
      <c r="F317">
        <v>1079</v>
      </c>
      <c r="G317">
        <v>265</v>
      </c>
      <c r="H317">
        <v>190</v>
      </c>
      <c r="I317">
        <v>43786</v>
      </c>
      <c r="J317">
        <v>72428</v>
      </c>
      <c r="K317">
        <v>222</v>
      </c>
      <c r="L317" t="s">
        <v>41</v>
      </c>
      <c r="M317" t="s">
        <v>18</v>
      </c>
      <c r="N317" s="11">
        <f t="shared" si="8"/>
        <v>3.5034029141734799E-2</v>
      </c>
      <c r="O317">
        <f t="shared" si="9"/>
        <v>171</v>
      </c>
    </row>
    <row r="318" spans="1:15">
      <c r="A318" t="s">
        <v>238</v>
      </c>
      <c r="B318" t="s">
        <v>24</v>
      </c>
      <c r="C318" s="5">
        <v>45484</v>
      </c>
      <c r="D318" t="s">
        <v>25</v>
      </c>
      <c r="E318" t="s">
        <v>36</v>
      </c>
      <c r="F318">
        <v>4247</v>
      </c>
      <c r="G318">
        <v>179</v>
      </c>
      <c r="H318">
        <v>175</v>
      </c>
      <c r="I318">
        <v>32991</v>
      </c>
      <c r="J318">
        <v>70120</v>
      </c>
      <c r="K318">
        <v>276</v>
      </c>
      <c r="L318" t="s">
        <v>44</v>
      </c>
      <c r="M318" t="s">
        <v>18</v>
      </c>
      <c r="N318" s="11">
        <f t="shared" si="8"/>
        <v>0.13946227759085811</v>
      </c>
      <c r="O318">
        <f t="shared" si="9"/>
        <v>54</v>
      </c>
    </row>
    <row r="319" spans="1:15">
      <c r="A319" t="s">
        <v>238</v>
      </c>
      <c r="B319" t="s">
        <v>24</v>
      </c>
      <c r="C319" s="5">
        <v>45484</v>
      </c>
      <c r="D319" t="s">
        <v>25</v>
      </c>
      <c r="E319" t="s">
        <v>36</v>
      </c>
      <c r="F319">
        <v>4247</v>
      </c>
      <c r="G319">
        <v>179</v>
      </c>
      <c r="H319">
        <v>175</v>
      </c>
      <c r="I319">
        <v>32991</v>
      </c>
      <c r="J319">
        <v>70120</v>
      </c>
      <c r="K319">
        <v>276</v>
      </c>
      <c r="L319" t="s">
        <v>41</v>
      </c>
      <c r="M319" t="s">
        <v>18</v>
      </c>
      <c r="N319" s="11">
        <f t="shared" si="8"/>
        <v>0.13946227759085811</v>
      </c>
      <c r="O319">
        <f t="shared" si="9"/>
        <v>54</v>
      </c>
    </row>
    <row r="320" spans="1:15">
      <c r="A320" t="s">
        <v>239</v>
      </c>
      <c r="B320" t="s">
        <v>24</v>
      </c>
      <c r="C320" s="5">
        <v>45369</v>
      </c>
      <c r="D320" t="s">
        <v>15</v>
      </c>
      <c r="E320" t="s">
        <v>26</v>
      </c>
      <c r="F320">
        <v>2033</v>
      </c>
      <c r="G320">
        <v>420</v>
      </c>
      <c r="H320">
        <v>94</v>
      </c>
      <c r="I320">
        <v>56290</v>
      </c>
      <c r="J320">
        <v>57391</v>
      </c>
      <c r="K320">
        <v>196</v>
      </c>
      <c r="L320" t="s">
        <v>41</v>
      </c>
      <c r="M320" t="s">
        <v>18</v>
      </c>
      <c r="N320" s="11">
        <f t="shared" si="8"/>
        <v>4.5247823769763724E-2</v>
      </c>
      <c r="O320">
        <f t="shared" si="9"/>
        <v>237</v>
      </c>
    </row>
    <row r="321" spans="1:15">
      <c r="A321" t="s">
        <v>240</v>
      </c>
      <c r="B321" t="s">
        <v>24</v>
      </c>
      <c r="C321" s="5">
        <v>45547</v>
      </c>
      <c r="D321" t="s">
        <v>25</v>
      </c>
      <c r="E321" t="s">
        <v>29</v>
      </c>
      <c r="F321">
        <v>1839</v>
      </c>
      <c r="G321">
        <v>223</v>
      </c>
      <c r="H321">
        <v>171</v>
      </c>
      <c r="I321">
        <v>35459</v>
      </c>
      <c r="J321">
        <v>69988</v>
      </c>
      <c r="K321">
        <v>114</v>
      </c>
      <c r="L321" t="s">
        <v>365</v>
      </c>
      <c r="M321" t="s">
        <v>18</v>
      </c>
      <c r="N321" s="11">
        <f t="shared" si="8"/>
        <v>6.2974139146620034E-2</v>
      </c>
      <c r="O321">
        <f t="shared" si="9"/>
        <v>404</v>
      </c>
    </row>
    <row r="322" spans="1:15">
      <c r="A322" t="s">
        <v>240</v>
      </c>
      <c r="B322" t="s">
        <v>24</v>
      </c>
      <c r="C322" s="5">
        <v>45547</v>
      </c>
      <c r="D322" t="s">
        <v>25</v>
      </c>
      <c r="E322" t="s">
        <v>29</v>
      </c>
      <c r="F322">
        <v>1839</v>
      </c>
      <c r="G322">
        <v>223</v>
      </c>
      <c r="H322">
        <v>171</v>
      </c>
      <c r="I322">
        <v>35459</v>
      </c>
      <c r="J322">
        <v>69988</v>
      </c>
      <c r="K322">
        <v>114</v>
      </c>
      <c r="L322" t="s">
        <v>41</v>
      </c>
      <c r="M322" t="s">
        <v>18</v>
      </c>
      <c r="N322" s="11">
        <f t="shared" ref="N322:N385" si="10">(F322+G322+H322)/I322</f>
        <v>6.2974139146620034E-2</v>
      </c>
      <c r="O322">
        <f t="shared" ref="O322:O385" si="11">_xlfn.RANK.EQ(K322,K:K,0)</f>
        <v>404</v>
      </c>
    </row>
    <row r="323" spans="1:15">
      <c r="A323" t="s">
        <v>241</v>
      </c>
      <c r="B323" t="s">
        <v>24</v>
      </c>
      <c r="C323" s="5">
        <v>45302</v>
      </c>
      <c r="D323" t="s">
        <v>25</v>
      </c>
      <c r="E323" t="s">
        <v>29</v>
      </c>
      <c r="F323">
        <v>2340</v>
      </c>
      <c r="G323">
        <v>141</v>
      </c>
      <c r="H323">
        <v>206</v>
      </c>
      <c r="I323">
        <v>24916</v>
      </c>
      <c r="J323">
        <v>30582</v>
      </c>
      <c r="K323">
        <v>157</v>
      </c>
      <c r="L323" t="s">
        <v>44</v>
      </c>
      <c r="M323" t="s">
        <v>18</v>
      </c>
      <c r="N323" s="11">
        <f t="shared" si="10"/>
        <v>0.10784235029699792</v>
      </c>
      <c r="O323">
        <f t="shared" si="11"/>
        <v>327</v>
      </c>
    </row>
    <row r="324" spans="1:15">
      <c r="A324" t="s">
        <v>241</v>
      </c>
      <c r="B324" t="s">
        <v>24</v>
      </c>
      <c r="C324" s="5">
        <v>45302</v>
      </c>
      <c r="D324" t="s">
        <v>25</v>
      </c>
      <c r="E324" t="s">
        <v>29</v>
      </c>
      <c r="F324">
        <v>2340</v>
      </c>
      <c r="G324">
        <v>141</v>
      </c>
      <c r="H324">
        <v>206</v>
      </c>
      <c r="I324">
        <v>24916</v>
      </c>
      <c r="J324">
        <v>30582</v>
      </c>
      <c r="K324">
        <v>157</v>
      </c>
      <c r="L324" t="s">
        <v>41</v>
      </c>
      <c r="M324" t="s">
        <v>18</v>
      </c>
      <c r="N324" s="11">
        <f t="shared" si="10"/>
        <v>0.10784235029699792</v>
      </c>
      <c r="O324">
        <f t="shared" si="11"/>
        <v>327</v>
      </c>
    </row>
    <row r="325" spans="1:15">
      <c r="A325" t="s">
        <v>242</v>
      </c>
      <c r="B325" t="s">
        <v>14</v>
      </c>
      <c r="C325" s="5">
        <v>45571</v>
      </c>
      <c r="D325" t="s">
        <v>15</v>
      </c>
      <c r="E325" t="s">
        <v>40</v>
      </c>
      <c r="F325">
        <v>2080</v>
      </c>
      <c r="G325">
        <v>389</v>
      </c>
      <c r="H325">
        <v>92</v>
      </c>
      <c r="I325">
        <v>30971</v>
      </c>
      <c r="J325">
        <v>25347</v>
      </c>
      <c r="K325">
        <v>111</v>
      </c>
      <c r="L325" t="s">
        <v>21</v>
      </c>
      <c r="M325" t="s">
        <v>22</v>
      </c>
      <c r="N325" s="11">
        <f t="shared" si="10"/>
        <v>8.2690258629040073E-2</v>
      </c>
      <c r="O325">
        <f t="shared" si="11"/>
        <v>416</v>
      </c>
    </row>
    <row r="326" spans="1:15">
      <c r="A326" t="s">
        <v>243</v>
      </c>
      <c r="B326" t="s">
        <v>24</v>
      </c>
      <c r="C326" s="5">
        <v>45656</v>
      </c>
      <c r="D326" t="s">
        <v>15</v>
      </c>
      <c r="E326" t="s">
        <v>36</v>
      </c>
      <c r="F326">
        <v>4214</v>
      </c>
      <c r="G326">
        <v>286</v>
      </c>
      <c r="H326">
        <v>127</v>
      </c>
      <c r="I326">
        <v>47293</v>
      </c>
      <c r="J326">
        <v>27184</v>
      </c>
      <c r="K326">
        <v>232</v>
      </c>
      <c r="L326" t="s">
        <v>41</v>
      </c>
      <c r="M326" t="s">
        <v>18</v>
      </c>
      <c r="N326" s="11">
        <f t="shared" si="10"/>
        <v>9.7836889180216949E-2</v>
      </c>
      <c r="O326">
        <f t="shared" si="11"/>
        <v>148</v>
      </c>
    </row>
    <row r="327" spans="1:15">
      <c r="A327" t="s">
        <v>244</v>
      </c>
      <c r="B327" t="s">
        <v>24</v>
      </c>
      <c r="C327" s="5">
        <v>45763</v>
      </c>
      <c r="D327" t="s">
        <v>15</v>
      </c>
      <c r="E327" t="s">
        <v>29</v>
      </c>
      <c r="F327">
        <v>3792</v>
      </c>
      <c r="G327">
        <v>315</v>
      </c>
      <c r="H327">
        <v>120</v>
      </c>
      <c r="I327">
        <v>54592</v>
      </c>
      <c r="J327">
        <v>67886</v>
      </c>
      <c r="K327">
        <v>117</v>
      </c>
      <c r="L327" t="s">
        <v>44</v>
      </c>
      <c r="M327" t="s">
        <v>22</v>
      </c>
      <c r="N327" s="11">
        <f t="shared" si="10"/>
        <v>7.7428927315357568E-2</v>
      </c>
      <c r="O327">
        <f t="shared" si="11"/>
        <v>401</v>
      </c>
    </row>
    <row r="328" spans="1:15">
      <c r="A328" t="s">
        <v>245</v>
      </c>
      <c r="B328" t="s">
        <v>24</v>
      </c>
      <c r="C328" s="5">
        <v>45525</v>
      </c>
      <c r="D328" t="s">
        <v>25</v>
      </c>
      <c r="E328" t="s">
        <v>20</v>
      </c>
      <c r="F328">
        <v>3989</v>
      </c>
      <c r="G328">
        <v>476</v>
      </c>
      <c r="H328">
        <v>128</v>
      </c>
      <c r="I328">
        <v>57569</v>
      </c>
      <c r="J328">
        <v>40193</v>
      </c>
      <c r="K328">
        <v>222</v>
      </c>
      <c r="L328" t="s">
        <v>21</v>
      </c>
      <c r="M328" t="s">
        <v>18</v>
      </c>
      <c r="N328" s="11">
        <f t="shared" si="10"/>
        <v>7.9782521843353188E-2</v>
      </c>
      <c r="O328">
        <f t="shared" si="11"/>
        <v>171</v>
      </c>
    </row>
    <row r="329" spans="1:15">
      <c r="A329" t="s">
        <v>245</v>
      </c>
      <c r="B329" t="s">
        <v>24</v>
      </c>
      <c r="C329" s="5">
        <v>45525</v>
      </c>
      <c r="D329" t="s">
        <v>25</v>
      </c>
      <c r="E329" t="s">
        <v>20</v>
      </c>
      <c r="F329">
        <v>3989</v>
      </c>
      <c r="G329">
        <v>476</v>
      </c>
      <c r="H329">
        <v>128</v>
      </c>
      <c r="I329">
        <v>57569</v>
      </c>
      <c r="J329">
        <v>40193</v>
      </c>
      <c r="K329">
        <v>222</v>
      </c>
      <c r="L329" t="s">
        <v>365</v>
      </c>
      <c r="M329" t="s">
        <v>18</v>
      </c>
      <c r="N329" s="11">
        <f t="shared" si="10"/>
        <v>7.9782521843353188E-2</v>
      </c>
      <c r="O329">
        <f t="shared" si="11"/>
        <v>171</v>
      </c>
    </row>
    <row r="330" spans="1:15">
      <c r="A330" t="s">
        <v>246</v>
      </c>
      <c r="B330" t="s">
        <v>24</v>
      </c>
      <c r="C330" s="5">
        <v>45387</v>
      </c>
      <c r="D330" t="s">
        <v>25</v>
      </c>
      <c r="E330" t="s">
        <v>29</v>
      </c>
      <c r="F330">
        <v>2857</v>
      </c>
      <c r="G330">
        <v>443</v>
      </c>
      <c r="H330">
        <v>359</v>
      </c>
      <c r="I330">
        <v>51519</v>
      </c>
      <c r="J330">
        <v>28256</v>
      </c>
      <c r="K330">
        <v>155</v>
      </c>
      <c r="L330" t="s">
        <v>44</v>
      </c>
      <c r="M330" t="s">
        <v>18</v>
      </c>
      <c r="N330" s="11">
        <f t="shared" si="10"/>
        <v>7.1022341272152026E-2</v>
      </c>
      <c r="O330">
        <f t="shared" si="11"/>
        <v>335</v>
      </c>
    </row>
    <row r="331" spans="1:15">
      <c r="A331" t="s">
        <v>246</v>
      </c>
      <c r="B331" t="s">
        <v>24</v>
      </c>
      <c r="C331" s="5">
        <v>45387</v>
      </c>
      <c r="D331" t="s">
        <v>25</v>
      </c>
      <c r="E331" t="s">
        <v>29</v>
      </c>
      <c r="F331">
        <v>2857</v>
      </c>
      <c r="G331">
        <v>443</v>
      </c>
      <c r="H331">
        <v>359</v>
      </c>
      <c r="I331">
        <v>51519</v>
      </c>
      <c r="J331">
        <v>28256</v>
      </c>
      <c r="K331">
        <v>155</v>
      </c>
      <c r="L331" t="s">
        <v>41</v>
      </c>
      <c r="M331" t="s">
        <v>18</v>
      </c>
      <c r="N331" s="11">
        <f t="shared" si="10"/>
        <v>7.1022341272152026E-2</v>
      </c>
      <c r="O331">
        <f t="shared" si="11"/>
        <v>335</v>
      </c>
    </row>
    <row r="332" spans="1:15">
      <c r="A332" t="s">
        <v>247</v>
      </c>
      <c r="B332" t="s">
        <v>24</v>
      </c>
      <c r="C332" s="5">
        <v>45754</v>
      </c>
      <c r="D332" t="s">
        <v>15</v>
      </c>
      <c r="E332" t="s">
        <v>48</v>
      </c>
      <c r="F332">
        <v>1403</v>
      </c>
      <c r="G332">
        <v>385</v>
      </c>
      <c r="H332">
        <v>344</v>
      </c>
      <c r="I332">
        <v>54223</v>
      </c>
      <c r="J332">
        <v>72595</v>
      </c>
      <c r="K332">
        <v>239</v>
      </c>
      <c r="L332" t="s">
        <v>44</v>
      </c>
      <c r="M332" t="s">
        <v>22</v>
      </c>
      <c r="N332" s="11">
        <f t="shared" si="10"/>
        <v>3.9319108127547353E-2</v>
      </c>
      <c r="O332">
        <f t="shared" si="11"/>
        <v>133</v>
      </c>
    </row>
    <row r="333" spans="1:15">
      <c r="A333" t="s">
        <v>248</v>
      </c>
      <c r="B333" t="s">
        <v>24</v>
      </c>
      <c r="C333" s="5">
        <v>45492</v>
      </c>
      <c r="D333" t="s">
        <v>25</v>
      </c>
      <c r="E333" t="s">
        <v>34</v>
      </c>
      <c r="F333">
        <v>3071</v>
      </c>
      <c r="G333">
        <v>126</v>
      </c>
      <c r="H333">
        <v>200</v>
      </c>
      <c r="I333">
        <v>44013</v>
      </c>
      <c r="J333">
        <v>44679</v>
      </c>
      <c r="K333">
        <v>118</v>
      </c>
      <c r="L333" t="s">
        <v>21</v>
      </c>
      <c r="M333" t="s">
        <v>18</v>
      </c>
      <c r="N333" s="11">
        <f t="shared" si="10"/>
        <v>7.7181741758116915E-2</v>
      </c>
      <c r="O333">
        <f t="shared" si="11"/>
        <v>397</v>
      </c>
    </row>
    <row r="334" spans="1:15">
      <c r="A334" t="s">
        <v>248</v>
      </c>
      <c r="B334" t="s">
        <v>24</v>
      </c>
      <c r="C334" s="5">
        <v>45492</v>
      </c>
      <c r="D334" t="s">
        <v>25</v>
      </c>
      <c r="E334" t="s">
        <v>34</v>
      </c>
      <c r="F334">
        <v>3071</v>
      </c>
      <c r="G334">
        <v>126</v>
      </c>
      <c r="H334">
        <v>200</v>
      </c>
      <c r="I334">
        <v>44013</v>
      </c>
      <c r="J334">
        <v>44679</v>
      </c>
      <c r="K334">
        <v>118</v>
      </c>
      <c r="L334" t="s">
        <v>365</v>
      </c>
      <c r="M334" t="s">
        <v>18</v>
      </c>
      <c r="N334" s="11">
        <f t="shared" si="10"/>
        <v>7.7181741758116915E-2</v>
      </c>
      <c r="O334">
        <f t="shared" si="11"/>
        <v>397</v>
      </c>
    </row>
    <row r="335" spans="1:15">
      <c r="A335" t="s">
        <v>249</v>
      </c>
      <c r="B335" t="s">
        <v>24</v>
      </c>
      <c r="C335" s="5">
        <v>45780</v>
      </c>
      <c r="D335" t="s">
        <v>25</v>
      </c>
      <c r="E335" t="s">
        <v>40</v>
      </c>
      <c r="F335">
        <v>1010</v>
      </c>
      <c r="G335">
        <v>361</v>
      </c>
      <c r="H335">
        <v>240</v>
      </c>
      <c r="I335">
        <v>47229</v>
      </c>
      <c r="J335">
        <v>72573</v>
      </c>
      <c r="K335">
        <v>275</v>
      </c>
      <c r="L335" t="s">
        <v>44</v>
      </c>
      <c r="M335" t="s">
        <v>18</v>
      </c>
      <c r="N335" s="11">
        <f t="shared" si="10"/>
        <v>3.4110398272247981E-2</v>
      </c>
      <c r="O335">
        <f t="shared" si="11"/>
        <v>57</v>
      </c>
    </row>
    <row r="336" spans="1:15">
      <c r="A336" t="s">
        <v>249</v>
      </c>
      <c r="B336" t="s">
        <v>24</v>
      </c>
      <c r="C336" s="5">
        <v>45780</v>
      </c>
      <c r="D336" t="s">
        <v>25</v>
      </c>
      <c r="E336" t="s">
        <v>40</v>
      </c>
      <c r="F336">
        <v>1010</v>
      </c>
      <c r="G336">
        <v>361</v>
      </c>
      <c r="H336">
        <v>240</v>
      </c>
      <c r="I336">
        <v>47229</v>
      </c>
      <c r="J336">
        <v>72573</v>
      </c>
      <c r="K336">
        <v>275</v>
      </c>
      <c r="L336" t="s">
        <v>41</v>
      </c>
      <c r="M336" t="s">
        <v>18</v>
      </c>
      <c r="N336" s="11">
        <f t="shared" si="10"/>
        <v>3.4110398272247981E-2</v>
      </c>
      <c r="O336">
        <f t="shared" si="11"/>
        <v>57</v>
      </c>
    </row>
    <row r="337" spans="1:15">
      <c r="A337" t="s">
        <v>250</v>
      </c>
      <c r="B337" t="s">
        <v>24</v>
      </c>
      <c r="C337" s="5">
        <v>45396</v>
      </c>
      <c r="D337" t="s">
        <v>25</v>
      </c>
      <c r="E337" t="s">
        <v>16</v>
      </c>
      <c r="F337">
        <v>1295</v>
      </c>
      <c r="G337">
        <v>153</v>
      </c>
      <c r="H337">
        <v>81</v>
      </c>
      <c r="I337">
        <v>48350</v>
      </c>
      <c r="J337">
        <v>61033</v>
      </c>
      <c r="K337">
        <v>232</v>
      </c>
      <c r="L337" t="s">
        <v>21</v>
      </c>
      <c r="M337" t="s">
        <v>18</v>
      </c>
      <c r="N337" s="11">
        <f t="shared" si="10"/>
        <v>3.1623578076525334E-2</v>
      </c>
      <c r="O337">
        <f t="shared" si="11"/>
        <v>148</v>
      </c>
    </row>
    <row r="338" spans="1:15">
      <c r="A338" t="s">
        <v>250</v>
      </c>
      <c r="B338" t="s">
        <v>24</v>
      </c>
      <c r="C338" s="5">
        <v>45396</v>
      </c>
      <c r="D338" t="s">
        <v>25</v>
      </c>
      <c r="E338" t="s">
        <v>16</v>
      </c>
      <c r="F338">
        <v>1295</v>
      </c>
      <c r="G338">
        <v>153</v>
      </c>
      <c r="H338">
        <v>81</v>
      </c>
      <c r="I338">
        <v>48350</v>
      </c>
      <c r="J338">
        <v>61033</v>
      </c>
      <c r="K338">
        <v>232</v>
      </c>
      <c r="L338" t="s">
        <v>365</v>
      </c>
      <c r="M338" t="s">
        <v>18</v>
      </c>
      <c r="N338" s="11">
        <f t="shared" si="10"/>
        <v>3.1623578076525334E-2</v>
      </c>
      <c r="O338">
        <f t="shared" si="11"/>
        <v>148</v>
      </c>
    </row>
    <row r="339" spans="1:15">
      <c r="A339" t="s">
        <v>251</v>
      </c>
      <c r="B339" t="s">
        <v>24</v>
      </c>
      <c r="C339" s="5">
        <v>45827</v>
      </c>
      <c r="D339" t="s">
        <v>25</v>
      </c>
      <c r="E339" t="s">
        <v>34</v>
      </c>
      <c r="F339">
        <v>1433</v>
      </c>
      <c r="G339">
        <v>452</v>
      </c>
      <c r="H339">
        <v>305</v>
      </c>
      <c r="I339">
        <v>54541</v>
      </c>
      <c r="J339">
        <v>63700</v>
      </c>
      <c r="K339">
        <v>296</v>
      </c>
      <c r="L339" t="s">
        <v>21</v>
      </c>
      <c r="M339" t="s">
        <v>18</v>
      </c>
      <c r="N339" s="11">
        <f t="shared" si="10"/>
        <v>4.0153279184466734E-2</v>
      </c>
      <c r="O339">
        <f t="shared" si="11"/>
        <v>9</v>
      </c>
    </row>
    <row r="340" spans="1:15">
      <c r="A340" t="s">
        <v>251</v>
      </c>
      <c r="B340" t="s">
        <v>24</v>
      </c>
      <c r="C340" s="5">
        <v>45827</v>
      </c>
      <c r="D340" t="s">
        <v>25</v>
      </c>
      <c r="E340" t="s">
        <v>34</v>
      </c>
      <c r="F340">
        <v>1433</v>
      </c>
      <c r="G340">
        <v>452</v>
      </c>
      <c r="H340">
        <v>305</v>
      </c>
      <c r="I340">
        <v>54541</v>
      </c>
      <c r="J340">
        <v>63700</v>
      </c>
      <c r="K340">
        <v>296</v>
      </c>
      <c r="L340" t="s">
        <v>365</v>
      </c>
      <c r="M340" t="s">
        <v>18</v>
      </c>
      <c r="N340" s="11">
        <f t="shared" si="10"/>
        <v>4.0153279184466734E-2</v>
      </c>
      <c r="O340">
        <f t="shared" si="11"/>
        <v>9</v>
      </c>
    </row>
    <row r="341" spans="1:15">
      <c r="A341" t="s">
        <v>252</v>
      </c>
      <c r="B341" t="s">
        <v>14</v>
      </c>
      <c r="C341" s="5">
        <v>45832</v>
      </c>
      <c r="D341" t="s">
        <v>25</v>
      </c>
      <c r="E341" t="s">
        <v>36</v>
      </c>
      <c r="F341">
        <v>4902</v>
      </c>
      <c r="G341">
        <v>422</v>
      </c>
      <c r="H341">
        <v>376</v>
      </c>
      <c r="I341">
        <v>31674</v>
      </c>
      <c r="J341">
        <v>53225</v>
      </c>
      <c r="K341">
        <v>147</v>
      </c>
      <c r="L341" t="s">
        <v>41</v>
      </c>
      <c r="M341" t="s">
        <v>54</v>
      </c>
      <c r="N341" s="11">
        <f t="shared" si="10"/>
        <v>0.17995832544042431</v>
      </c>
      <c r="O341">
        <f t="shared" si="11"/>
        <v>346</v>
      </c>
    </row>
    <row r="342" spans="1:15">
      <c r="A342" t="s">
        <v>253</v>
      </c>
      <c r="B342" t="s">
        <v>24</v>
      </c>
      <c r="C342" s="5">
        <v>45574</v>
      </c>
      <c r="D342" t="s">
        <v>15</v>
      </c>
      <c r="E342" t="s">
        <v>29</v>
      </c>
      <c r="F342">
        <v>2659</v>
      </c>
      <c r="G342">
        <v>167</v>
      </c>
      <c r="H342">
        <v>73</v>
      </c>
      <c r="I342">
        <v>23090</v>
      </c>
      <c r="J342">
        <v>25872</v>
      </c>
      <c r="K342">
        <v>293</v>
      </c>
      <c r="L342" t="s">
        <v>44</v>
      </c>
      <c r="M342" t="s">
        <v>22</v>
      </c>
      <c r="N342" s="11">
        <f t="shared" si="10"/>
        <v>0.12555218709398008</v>
      </c>
      <c r="O342">
        <f t="shared" si="11"/>
        <v>16</v>
      </c>
    </row>
    <row r="343" spans="1:15">
      <c r="A343" t="s">
        <v>254</v>
      </c>
      <c r="B343" t="s">
        <v>364</v>
      </c>
      <c r="C343" s="5">
        <v>45672</v>
      </c>
      <c r="D343" t="s">
        <v>15</v>
      </c>
      <c r="E343" t="s">
        <v>50</v>
      </c>
      <c r="F343">
        <v>2599</v>
      </c>
      <c r="G343">
        <v>324</v>
      </c>
      <c r="H343">
        <v>182</v>
      </c>
      <c r="I343">
        <v>37525</v>
      </c>
      <c r="J343">
        <v>37216</v>
      </c>
      <c r="K343">
        <v>186</v>
      </c>
      <c r="L343" t="s">
        <v>21</v>
      </c>
      <c r="M343" t="s">
        <v>22</v>
      </c>
      <c r="N343" s="11">
        <f t="shared" si="10"/>
        <v>8.2744836775483013E-2</v>
      </c>
      <c r="O343">
        <f t="shared" si="11"/>
        <v>251</v>
      </c>
    </row>
    <row r="344" spans="1:15">
      <c r="A344" t="s">
        <v>254</v>
      </c>
      <c r="B344" t="s">
        <v>364</v>
      </c>
      <c r="C344" s="5">
        <v>45672</v>
      </c>
      <c r="D344" t="s">
        <v>15</v>
      </c>
      <c r="E344" t="s">
        <v>50</v>
      </c>
      <c r="F344">
        <v>2599</v>
      </c>
      <c r="G344">
        <v>324</v>
      </c>
      <c r="H344">
        <v>182</v>
      </c>
      <c r="I344">
        <v>37525</v>
      </c>
      <c r="J344">
        <v>37216</v>
      </c>
      <c r="K344">
        <v>186</v>
      </c>
      <c r="L344" t="s">
        <v>366</v>
      </c>
      <c r="M344" t="s">
        <v>22</v>
      </c>
      <c r="N344" s="11">
        <f t="shared" si="10"/>
        <v>8.2744836775483013E-2</v>
      </c>
      <c r="O344">
        <f t="shared" si="11"/>
        <v>251</v>
      </c>
    </row>
    <row r="345" spans="1:15">
      <c r="A345" t="s">
        <v>255</v>
      </c>
      <c r="B345" t="s">
        <v>24</v>
      </c>
      <c r="C345" s="5">
        <v>45669</v>
      </c>
      <c r="D345" t="s">
        <v>15</v>
      </c>
      <c r="E345" t="s">
        <v>31</v>
      </c>
      <c r="F345">
        <v>1765</v>
      </c>
      <c r="G345">
        <v>285</v>
      </c>
      <c r="H345">
        <v>100</v>
      </c>
      <c r="I345">
        <v>41313</v>
      </c>
      <c r="J345">
        <v>56575</v>
      </c>
      <c r="K345">
        <v>174</v>
      </c>
      <c r="L345" t="s">
        <v>44</v>
      </c>
      <c r="M345" t="s">
        <v>22</v>
      </c>
      <c r="N345" s="11">
        <f t="shared" si="10"/>
        <v>5.2041730205988429E-2</v>
      </c>
      <c r="O345">
        <f t="shared" si="11"/>
        <v>279</v>
      </c>
    </row>
    <row r="346" spans="1:15">
      <c r="A346" t="s">
        <v>256</v>
      </c>
      <c r="B346" t="s">
        <v>14</v>
      </c>
      <c r="C346" s="5">
        <v>45808</v>
      </c>
      <c r="D346" t="s">
        <v>15</v>
      </c>
      <c r="E346" t="s">
        <v>34</v>
      </c>
      <c r="F346">
        <v>2169</v>
      </c>
      <c r="G346">
        <v>240</v>
      </c>
      <c r="H346">
        <v>57</v>
      </c>
      <c r="I346">
        <v>26109</v>
      </c>
      <c r="J346">
        <v>46667</v>
      </c>
      <c r="K346">
        <v>133</v>
      </c>
      <c r="L346" t="s">
        <v>44</v>
      </c>
      <c r="M346" t="s">
        <v>18</v>
      </c>
      <c r="N346" s="11">
        <f t="shared" si="10"/>
        <v>9.4450189589796618E-2</v>
      </c>
      <c r="O346">
        <f t="shared" si="11"/>
        <v>365</v>
      </c>
    </row>
    <row r="347" spans="1:15">
      <c r="A347" t="s">
        <v>256</v>
      </c>
      <c r="B347" t="s">
        <v>14</v>
      </c>
      <c r="C347" s="5">
        <v>45808</v>
      </c>
      <c r="D347" t="s">
        <v>15</v>
      </c>
      <c r="E347" t="s">
        <v>34</v>
      </c>
      <c r="F347">
        <v>2169</v>
      </c>
      <c r="G347">
        <v>240</v>
      </c>
      <c r="H347">
        <v>57</v>
      </c>
      <c r="I347">
        <v>26109</v>
      </c>
      <c r="J347">
        <v>46667</v>
      </c>
      <c r="K347">
        <v>133</v>
      </c>
      <c r="L347" t="s">
        <v>41</v>
      </c>
      <c r="M347" t="s">
        <v>18</v>
      </c>
      <c r="N347" s="11">
        <f t="shared" si="10"/>
        <v>9.4450189589796618E-2</v>
      </c>
      <c r="O347">
        <f t="shared" si="11"/>
        <v>365</v>
      </c>
    </row>
    <row r="348" spans="1:15">
      <c r="A348" t="s">
        <v>257</v>
      </c>
      <c r="B348" t="s">
        <v>24</v>
      </c>
      <c r="C348" s="5">
        <v>45579</v>
      </c>
      <c r="D348" t="s">
        <v>25</v>
      </c>
      <c r="E348" t="s">
        <v>20</v>
      </c>
      <c r="F348">
        <v>4303</v>
      </c>
      <c r="G348">
        <v>306</v>
      </c>
      <c r="H348">
        <v>302</v>
      </c>
      <c r="I348">
        <v>39575</v>
      </c>
      <c r="J348">
        <v>33762</v>
      </c>
      <c r="K348">
        <v>265</v>
      </c>
      <c r="L348" t="s">
        <v>21</v>
      </c>
      <c r="M348" t="s">
        <v>18</v>
      </c>
      <c r="N348" s="11">
        <f t="shared" si="10"/>
        <v>0.12409349336702463</v>
      </c>
      <c r="O348">
        <f t="shared" si="11"/>
        <v>88</v>
      </c>
    </row>
    <row r="349" spans="1:15">
      <c r="A349" t="s">
        <v>257</v>
      </c>
      <c r="B349" t="s">
        <v>24</v>
      </c>
      <c r="C349" s="5">
        <v>45579</v>
      </c>
      <c r="D349" t="s">
        <v>25</v>
      </c>
      <c r="E349" t="s">
        <v>20</v>
      </c>
      <c r="F349">
        <v>4303</v>
      </c>
      <c r="G349">
        <v>306</v>
      </c>
      <c r="H349">
        <v>302</v>
      </c>
      <c r="I349">
        <v>39575</v>
      </c>
      <c r="J349">
        <v>33762</v>
      </c>
      <c r="K349">
        <v>265</v>
      </c>
      <c r="L349" t="s">
        <v>365</v>
      </c>
      <c r="M349" t="s">
        <v>18</v>
      </c>
      <c r="N349" s="11">
        <f t="shared" si="10"/>
        <v>0.12409349336702463</v>
      </c>
      <c r="O349">
        <f t="shared" si="11"/>
        <v>88</v>
      </c>
    </row>
    <row r="350" spans="1:15">
      <c r="A350" t="s">
        <v>258</v>
      </c>
      <c r="B350" t="s">
        <v>24</v>
      </c>
      <c r="C350" s="5">
        <v>45332</v>
      </c>
      <c r="D350" t="s">
        <v>15</v>
      </c>
      <c r="E350" t="s">
        <v>48</v>
      </c>
      <c r="F350">
        <v>1519</v>
      </c>
      <c r="G350">
        <v>456</v>
      </c>
      <c r="H350">
        <v>379</v>
      </c>
      <c r="I350">
        <v>51611</v>
      </c>
      <c r="J350">
        <v>45880</v>
      </c>
      <c r="K350">
        <v>176</v>
      </c>
      <c r="L350" t="s">
        <v>44</v>
      </c>
      <c r="M350" t="s">
        <v>22</v>
      </c>
      <c r="N350" s="11">
        <f t="shared" si="10"/>
        <v>4.5610431884675749E-2</v>
      </c>
      <c r="O350">
        <f t="shared" si="11"/>
        <v>272</v>
      </c>
    </row>
    <row r="351" spans="1:15">
      <c r="A351" t="s">
        <v>259</v>
      </c>
      <c r="B351" t="s">
        <v>364</v>
      </c>
      <c r="C351" s="5">
        <v>45636</v>
      </c>
      <c r="D351" t="s">
        <v>15</v>
      </c>
      <c r="E351" t="s">
        <v>34</v>
      </c>
      <c r="F351">
        <v>2569</v>
      </c>
      <c r="G351">
        <v>140</v>
      </c>
      <c r="H351">
        <v>375</v>
      </c>
      <c r="I351">
        <v>38372</v>
      </c>
      <c r="J351">
        <v>22102</v>
      </c>
      <c r="K351">
        <v>255</v>
      </c>
      <c r="L351" t="s">
        <v>21</v>
      </c>
      <c r="M351" t="s">
        <v>22</v>
      </c>
      <c r="N351" s="11">
        <f t="shared" si="10"/>
        <v>8.0371103929948923E-2</v>
      </c>
      <c r="O351">
        <f t="shared" si="11"/>
        <v>114</v>
      </c>
    </row>
    <row r="352" spans="1:15">
      <c r="A352" t="s">
        <v>259</v>
      </c>
      <c r="B352" t="s">
        <v>364</v>
      </c>
      <c r="C352" s="5">
        <v>45636</v>
      </c>
      <c r="D352" t="s">
        <v>15</v>
      </c>
      <c r="E352" t="s">
        <v>34</v>
      </c>
      <c r="F352">
        <v>2569</v>
      </c>
      <c r="G352">
        <v>140</v>
      </c>
      <c r="H352">
        <v>375</v>
      </c>
      <c r="I352">
        <v>38372</v>
      </c>
      <c r="J352">
        <v>22102</v>
      </c>
      <c r="K352">
        <v>255</v>
      </c>
      <c r="L352" t="s">
        <v>366</v>
      </c>
      <c r="M352" t="s">
        <v>22</v>
      </c>
      <c r="N352" s="11">
        <f t="shared" si="10"/>
        <v>8.0371103929948923E-2</v>
      </c>
      <c r="O352">
        <f t="shared" si="11"/>
        <v>114</v>
      </c>
    </row>
    <row r="353" spans="1:15">
      <c r="A353" t="s">
        <v>260</v>
      </c>
      <c r="B353" t="s">
        <v>24</v>
      </c>
      <c r="C353" s="5">
        <v>45786</v>
      </c>
      <c r="D353" t="s">
        <v>25</v>
      </c>
      <c r="E353" t="s">
        <v>31</v>
      </c>
      <c r="F353">
        <v>2778</v>
      </c>
      <c r="G353">
        <v>241</v>
      </c>
      <c r="H353">
        <v>317</v>
      </c>
      <c r="I353">
        <v>26247</v>
      </c>
      <c r="J353">
        <v>20677</v>
      </c>
      <c r="K353">
        <v>282</v>
      </c>
      <c r="L353" t="s">
        <v>365</v>
      </c>
      <c r="M353" t="s">
        <v>18</v>
      </c>
      <c r="N353" s="11">
        <f t="shared" si="10"/>
        <v>0.1271002400274317</v>
      </c>
      <c r="O353">
        <f t="shared" si="11"/>
        <v>38</v>
      </c>
    </row>
    <row r="354" spans="1:15">
      <c r="A354" t="s">
        <v>260</v>
      </c>
      <c r="B354" t="s">
        <v>24</v>
      </c>
      <c r="C354" s="5">
        <v>45786</v>
      </c>
      <c r="D354" t="s">
        <v>25</v>
      </c>
      <c r="E354" t="s">
        <v>31</v>
      </c>
      <c r="F354">
        <v>2778</v>
      </c>
      <c r="G354">
        <v>241</v>
      </c>
      <c r="H354">
        <v>317</v>
      </c>
      <c r="I354">
        <v>26247</v>
      </c>
      <c r="J354">
        <v>20677</v>
      </c>
      <c r="K354">
        <v>282</v>
      </c>
      <c r="L354" t="s">
        <v>41</v>
      </c>
      <c r="M354" t="s">
        <v>18</v>
      </c>
      <c r="N354" s="11">
        <f t="shared" si="10"/>
        <v>0.1271002400274317</v>
      </c>
      <c r="O354">
        <f t="shared" si="11"/>
        <v>38</v>
      </c>
    </row>
    <row r="355" spans="1:15">
      <c r="A355" t="s">
        <v>261</v>
      </c>
      <c r="B355" t="s">
        <v>24</v>
      </c>
      <c r="C355" s="5">
        <v>45829</v>
      </c>
      <c r="D355" t="s">
        <v>15</v>
      </c>
      <c r="E355" t="s">
        <v>20</v>
      </c>
      <c r="F355">
        <v>3611</v>
      </c>
      <c r="G355">
        <v>127</v>
      </c>
      <c r="H355">
        <v>139</v>
      </c>
      <c r="I355">
        <v>44768</v>
      </c>
      <c r="J355">
        <v>29435</v>
      </c>
      <c r="K355">
        <v>178</v>
      </c>
      <c r="L355" t="s">
        <v>41</v>
      </c>
      <c r="M355" t="s">
        <v>18</v>
      </c>
      <c r="N355" s="11">
        <f t="shared" si="10"/>
        <v>8.6602037169406718E-2</v>
      </c>
      <c r="O355">
        <f t="shared" si="11"/>
        <v>266</v>
      </c>
    </row>
    <row r="356" spans="1:15">
      <c r="A356" t="s">
        <v>262</v>
      </c>
      <c r="B356" t="s">
        <v>24</v>
      </c>
      <c r="C356" s="5">
        <v>45462</v>
      </c>
      <c r="D356" t="s">
        <v>15</v>
      </c>
      <c r="E356" t="s">
        <v>34</v>
      </c>
      <c r="F356">
        <v>1224</v>
      </c>
      <c r="G356">
        <v>168</v>
      </c>
      <c r="H356">
        <v>199</v>
      </c>
      <c r="I356">
        <v>54232</v>
      </c>
      <c r="J356">
        <v>52844</v>
      </c>
      <c r="K356">
        <v>271</v>
      </c>
      <c r="L356" t="s">
        <v>44</v>
      </c>
      <c r="M356" t="s">
        <v>22</v>
      </c>
      <c r="N356" s="11">
        <f t="shared" si="10"/>
        <v>2.9336922849977874E-2</v>
      </c>
      <c r="O356">
        <f t="shared" si="11"/>
        <v>72</v>
      </c>
    </row>
    <row r="357" spans="1:15">
      <c r="A357" t="s">
        <v>263</v>
      </c>
      <c r="B357" t="s">
        <v>24</v>
      </c>
      <c r="C357" s="5">
        <v>45636</v>
      </c>
      <c r="D357" t="s">
        <v>15</v>
      </c>
      <c r="E357" t="s">
        <v>48</v>
      </c>
      <c r="F357">
        <v>4673</v>
      </c>
      <c r="G357">
        <v>270</v>
      </c>
      <c r="H357">
        <v>93</v>
      </c>
      <c r="I357">
        <v>45260</v>
      </c>
      <c r="J357">
        <v>57513</v>
      </c>
      <c r="K357">
        <v>103</v>
      </c>
      <c r="L357" t="s">
        <v>41</v>
      </c>
      <c r="M357" t="s">
        <v>18</v>
      </c>
      <c r="N357" s="11">
        <f t="shared" si="10"/>
        <v>0.11126822801590809</v>
      </c>
      <c r="O357">
        <f t="shared" si="11"/>
        <v>432</v>
      </c>
    </row>
    <row r="358" spans="1:15">
      <c r="A358" t="s">
        <v>264</v>
      </c>
      <c r="B358" t="s">
        <v>364</v>
      </c>
      <c r="C358" s="5">
        <v>45323</v>
      </c>
      <c r="D358" t="s">
        <v>15</v>
      </c>
      <c r="E358" t="s">
        <v>29</v>
      </c>
      <c r="F358">
        <v>1432</v>
      </c>
      <c r="G358">
        <v>437</v>
      </c>
      <c r="H358">
        <v>267</v>
      </c>
      <c r="I358">
        <v>40634</v>
      </c>
      <c r="J358">
        <v>54511</v>
      </c>
      <c r="K358">
        <v>197</v>
      </c>
      <c r="L358" t="s">
        <v>21</v>
      </c>
      <c r="M358" t="s">
        <v>22</v>
      </c>
      <c r="N358" s="11">
        <f t="shared" si="10"/>
        <v>5.2566815966924252E-2</v>
      </c>
      <c r="O358">
        <f t="shared" si="11"/>
        <v>232</v>
      </c>
    </row>
    <row r="359" spans="1:15">
      <c r="A359" t="s">
        <v>264</v>
      </c>
      <c r="B359" t="s">
        <v>364</v>
      </c>
      <c r="C359" s="5">
        <v>45323</v>
      </c>
      <c r="D359" t="s">
        <v>15</v>
      </c>
      <c r="E359" t="s">
        <v>29</v>
      </c>
      <c r="F359">
        <v>1432</v>
      </c>
      <c r="G359">
        <v>437</v>
      </c>
      <c r="H359">
        <v>267</v>
      </c>
      <c r="I359">
        <v>40634</v>
      </c>
      <c r="J359">
        <v>54511</v>
      </c>
      <c r="K359">
        <v>197</v>
      </c>
      <c r="L359" t="s">
        <v>366</v>
      </c>
      <c r="M359" t="s">
        <v>22</v>
      </c>
      <c r="N359" s="11">
        <f t="shared" si="10"/>
        <v>5.2566815966924252E-2</v>
      </c>
      <c r="O359">
        <f t="shared" si="11"/>
        <v>232</v>
      </c>
    </row>
    <row r="360" spans="1:15">
      <c r="A360" t="s">
        <v>265</v>
      </c>
      <c r="B360" t="s">
        <v>24</v>
      </c>
      <c r="C360" s="5">
        <v>45308</v>
      </c>
      <c r="D360" t="s">
        <v>25</v>
      </c>
      <c r="E360" t="s">
        <v>26</v>
      </c>
      <c r="F360">
        <v>2174</v>
      </c>
      <c r="G360">
        <v>499</v>
      </c>
      <c r="H360">
        <v>212</v>
      </c>
      <c r="I360">
        <v>54938</v>
      </c>
      <c r="J360">
        <v>27190</v>
      </c>
      <c r="K360">
        <v>265</v>
      </c>
      <c r="L360" t="s">
        <v>365</v>
      </c>
      <c r="M360" t="s">
        <v>18</v>
      </c>
      <c r="N360" s="11">
        <f t="shared" si="10"/>
        <v>5.2513742764570971E-2</v>
      </c>
      <c r="O360">
        <f t="shared" si="11"/>
        <v>88</v>
      </c>
    </row>
    <row r="361" spans="1:15">
      <c r="A361" t="s">
        <v>265</v>
      </c>
      <c r="B361" t="s">
        <v>24</v>
      </c>
      <c r="C361" s="5">
        <v>45308</v>
      </c>
      <c r="D361" t="s">
        <v>25</v>
      </c>
      <c r="E361" t="s">
        <v>26</v>
      </c>
      <c r="F361">
        <v>2174</v>
      </c>
      <c r="G361">
        <v>499</v>
      </c>
      <c r="H361">
        <v>212</v>
      </c>
      <c r="I361">
        <v>54938</v>
      </c>
      <c r="J361">
        <v>27190</v>
      </c>
      <c r="K361">
        <v>265</v>
      </c>
      <c r="L361" t="s">
        <v>41</v>
      </c>
      <c r="M361" t="s">
        <v>18</v>
      </c>
      <c r="N361" s="11">
        <f t="shared" si="10"/>
        <v>5.2513742764570971E-2</v>
      </c>
      <c r="O361">
        <f t="shared" si="11"/>
        <v>88</v>
      </c>
    </row>
    <row r="362" spans="1:15">
      <c r="A362" t="s">
        <v>266</v>
      </c>
      <c r="B362" t="s">
        <v>364</v>
      </c>
      <c r="C362" s="5">
        <v>45738</v>
      </c>
      <c r="D362" t="s">
        <v>15</v>
      </c>
      <c r="E362" t="s">
        <v>31</v>
      </c>
      <c r="F362">
        <v>4308</v>
      </c>
      <c r="G362">
        <v>171</v>
      </c>
      <c r="H362">
        <v>106</v>
      </c>
      <c r="I362">
        <v>36955</v>
      </c>
      <c r="J362">
        <v>23949</v>
      </c>
      <c r="K362">
        <v>294</v>
      </c>
      <c r="L362" t="s">
        <v>21</v>
      </c>
      <c r="M362" t="s">
        <v>22</v>
      </c>
      <c r="N362" s="11">
        <f t="shared" si="10"/>
        <v>0.12406981463942633</v>
      </c>
      <c r="O362">
        <f t="shared" si="11"/>
        <v>14</v>
      </c>
    </row>
    <row r="363" spans="1:15">
      <c r="A363" t="s">
        <v>266</v>
      </c>
      <c r="B363" t="s">
        <v>364</v>
      </c>
      <c r="C363" s="5">
        <v>45738</v>
      </c>
      <c r="D363" t="s">
        <v>15</v>
      </c>
      <c r="E363" t="s">
        <v>31</v>
      </c>
      <c r="F363">
        <v>4308</v>
      </c>
      <c r="G363">
        <v>171</v>
      </c>
      <c r="H363">
        <v>106</v>
      </c>
      <c r="I363">
        <v>36955</v>
      </c>
      <c r="J363">
        <v>23949</v>
      </c>
      <c r="K363">
        <v>294</v>
      </c>
      <c r="L363" t="s">
        <v>366</v>
      </c>
      <c r="M363" t="s">
        <v>22</v>
      </c>
      <c r="N363" s="11">
        <f t="shared" si="10"/>
        <v>0.12406981463942633</v>
      </c>
      <c r="O363">
        <f t="shared" si="11"/>
        <v>14</v>
      </c>
    </row>
    <row r="364" spans="1:15">
      <c r="A364" t="s">
        <v>267</v>
      </c>
      <c r="B364" t="s">
        <v>364</v>
      </c>
      <c r="C364" s="5">
        <v>45442</v>
      </c>
      <c r="D364" t="s">
        <v>56</v>
      </c>
      <c r="E364" t="s">
        <v>34</v>
      </c>
      <c r="F364">
        <v>1060</v>
      </c>
      <c r="G364">
        <v>442</v>
      </c>
      <c r="H364">
        <v>319</v>
      </c>
      <c r="I364">
        <v>57194</v>
      </c>
      <c r="J364">
        <v>24258</v>
      </c>
      <c r="K364">
        <v>101</v>
      </c>
      <c r="L364" t="s">
        <v>21</v>
      </c>
      <c r="M364" t="s">
        <v>58</v>
      </c>
      <c r="N364" s="11">
        <f t="shared" si="10"/>
        <v>3.1839004091338254E-2</v>
      </c>
      <c r="O364">
        <f t="shared" si="11"/>
        <v>436</v>
      </c>
    </row>
    <row r="365" spans="1:15">
      <c r="A365" t="s">
        <v>267</v>
      </c>
      <c r="B365" t="s">
        <v>364</v>
      </c>
      <c r="C365" s="5">
        <v>45442</v>
      </c>
      <c r="D365" t="s">
        <v>56</v>
      </c>
      <c r="E365" t="s">
        <v>34</v>
      </c>
      <c r="F365">
        <v>1060</v>
      </c>
      <c r="G365">
        <v>442</v>
      </c>
      <c r="H365">
        <v>319</v>
      </c>
      <c r="I365">
        <v>57194</v>
      </c>
      <c r="J365">
        <v>24258</v>
      </c>
      <c r="K365">
        <v>101</v>
      </c>
      <c r="L365" t="s">
        <v>44</v>
      </c>
      <c r="M365" t="s">
        <v>58</v>
      </c>
      <c r="N365" s="11">
        <f t="shared" si="10"/>
        <v>3.1839004091338254E-2</v>
      </c>
      <c r="O365">
        <f t="shared" si="11"/>
        <v>436</v>
      </c>
    </row>
    <row r="366" spans="1:15">
      <c r="A366" t="s">
        <v>268</v>
      </c>
      <c r="B366" t="s">
        <v>364</v>
      </c>
      <c r="C366" s="5">
        <v>45346</v>
      </c>
      <c r="D366" t="s">
        <v>15</v>
      </c>
      <c r="E366" t="s">
        <v>31</v>
      </c>
      <c r="F366">
        <v>4653</v>
      </c>
      <c r="G366">
        <v>226</v>
      </c>
      <c r="H366">
        <v>349</v>
      </c>
      <c r="I366">
        <v>56876</v>
      </c>
      <c r="J366">
        <v>28452</v>
      </c>
      <c r="K366">
        <v>257</v>
      </c>
      <c r="L366" t="s">
        <v>21</v>
      </c>
      <c r="M366" t="s">
        <v>22</v>
      </c>
      <c r="N366" s="11">
        <f t="shared" si="10"/>
        <v>9.191926295801392E-2</v>
      </c>
      <c r="O366">
        <f t="shared" si="11"/>
        <v>110</v>
      </c>
    </row>
    <row r="367" spans="1:15">
      <c r="A367" t="s">
        <v>268</v>
      </c>
      <c r="B367" t="s">
        <v>364</v>
      </c>
      <c r="C367" s="5">
        <v>45346</v>
      </c>
      <c r="D367" t="s">
        <v>15</v>
      </c>
      <c r="E367" t="s">
        <v>31</v>
      </c>
      <c r="F367">
        <v>4653</v>
      </c>
      <c r="G367">
        <v>226</v>
      </c>
      <c r="H367">
        <v>349</v>
      </c>
      <c r="I367">
        <v>56876</v>
      </c>
      <c r="J367">
        <v>28452</v>
      </c>
      <c r="K367">
        <v>257</v>
      </c>
      <c r="L367" t="s">
        <v>366</v>
      </c>
      <c r="M367" t="s">
        <v>22</v>
      </c>
      <c r="N367" s="11">
        <f t="shared" si="10"/>
        <v>9.191926295801392E-2</v>
      </c>
      <c r="O367">
        <f t="shared" si="11"/>
        <v>110</v>
      </c>
    </row>
    <row r="368" spans="1:15">
      <c r="A368" t="s">
        <v>269</v>
      </c>
      <c r="B368" t="s">
        <v>364</v>
      </c>
      <c r="C368" s="5">
        <v>45791</v>
      </c>
      <c r="D368" t="s">
        <v>15</v>
      </c>
      <c r="E368" t="s">
        <v>16</v>
      </c>
      <c r="F368">
        <v>1701</v>
      </c>
      <c r="G368">
        <v>272</v>
      </c>
      <c r="H368">
        <v>385</v>
      </c>
      <c r="I368">
        <v>47496</v>
      </c>
      <c r="J368">
        <v>40832</v>
      </c>
      <c r="K368">
        <v>246</v>
      </c>
      <c r="L368" t="s">
        <v>21</v>
      </c>
      <c r="M368" t="s">
        <v>22</v>
      </c>
      <c r="N368" s="11">
        <f t="shared" si="10"/>
        <v>4.9646286003031836E-2</v>
      </c>
      <c r="O368">
        <f t="shared" si="11"/>
        <v>121</v>
      </c>
    </row>
    <row r="369" spans="1:15">
      <c r="A369" t="s">
        <v>269</v>
      </c>
      <c r="B369" t="s">
        <v>364</v>
      </c>
      <c r="C369" s="5">
        <v>45791</v>
      </c>
      <c r="D369" t="s">
        <v>15</v>
      </c>
      <c r="E369" t="s">
        <v>16</v>
      </c>
      <c r="F369">
        <v>1701</v>
      </c>
      <c r="G369">
        <v>272</v>
      </c>
      <c r="H369">
        <v>385</v>
      </c>
      <c r="I369">
        <v>47496</v>
      </c>
      <c r="J369">
        <v>40832</v>
      </c>
      <c r="K369">
        <v>246</v>
      </c>
      <c r="L369" t="s">
        <v>366</v>
      </c>
      <c r="M369" t="s">
        <v>22</v>
      </c>
      <c r="N369" s="11">
        <f t="shared" si="10"/>
        <v>4.9646286003031836E-2</v>
      </c>
      <c r="O369">
        <f t="shared" si="11"/>
        <v>121</v>
      </c>
    </row>
    <row r="370" spans="1:15">
      <c r="A370" t="s">
        <v>270</v>
      </c>
      <c r="B370" t="s">
        <v>14</v>
      </c>
      <c r="C370" s="5">
        <v>45379</v>
      </c>
      <c r="D370" t="s">
        <v>15</v>
      </c>
      <c r="E370" t="s">
        <v>34</v>
      </c>
      <c r="F370">
        <v>1673</v>
      </c>
      <c r="G370">
        <v>280</v>
      </c>
      <c r="H370">
        <v>67</v>
      </c>
      <c r="I370">
        <v>29847</v>
      </c>
      <c r="J370">
        <v>48016</v>
      </c>
      <c r="K370">
        <v>213</v>
      </c>
      <c r="L370" t="s">
        <v>44</v>
      </c>
      <c r="M370" t="s">
        <v>18</v>
      </c>
      <c r="N370" s="11">
        <f t="shared" si="10"/>
        <v>6.76784936509532E-2</v>
      </c>
      <c r="O370">
        <f t="shared" si="11"/>
        <v>193</v>
      </c>
    </row>
    <row r="371" spans="1:15">
      <c r="A371" t="s">
        <v>270</v>
      </c>
      <c r="B371" t="s">
        <v>14</v>
      </c>
      <c r="C371" s="5">
        <v>45379</v>
      </c>
      <c r="D371" t="s">
        <v>15</v>
      </c>
      <c r="E371" t="s">
        <v>34</v>
      </c>
      <c r="F371">
        <v>1673</v>
      </c>
      <c r="G371">
        <v>280</v>
      </c>
      <c r="H371">
        <v>67</v>
      </c>
      <c r="I371">
        <v>29847</v>
      </c>
      <c r="J371">
        <v>48016</v>
      </c>
      <c r="K371">
        <v>213</v>
      </c>
      <c r="L371" t="s">
        <v>41</v>
      </c>
      <c r="M371" t="s">
        <v>18</v>
      </c>
      <c r="N371" s="11">
        <f t="shared" si="10"/>
        <v>6.76784936509532E-2</v>
      </c>
      <c r="O371">
        <f t="shared" si="11"/>
        <v>193</v>
      </c>
    </row>
    <row r="372" spans="1:15">
      <c r="A372" t="s">
        <v>271</v>
      </c>
      <c r="B372" t="s">
        <v>364</v>
      </c>
      <c r="C372" s="5">
        <v>45723</v>
      </c>
      <c r="D372" t="s">
        <v>15</v>
      </c>
      <c r="E372" t="s">
        <v>40</v>
      </c>
      <c r="F372">
        <v>4310</v>
      </c>
      <c r="G372">
        <v>284</v>
      </c>
      <c r="H372">
        <v>306</v>
      </c>
      <c r="I372">
        <v>44606</v>
      </c>
      <c r="J372">
        <v>42604</v>
      </c>
      <c r="K372">
        <v>290</v>
      </c>
      <c r="L372" t="s">
        <v>21</v>
      </c>
      <c r="M372" t="s">
        <v>22</v>
      </c>
      <c r="N372" s="11">
        <f t="shared" si="10"/>
        <v>0.10985069273191947</v>
      </c>
      <c r="O372">
        <f t="shared" si="11"/>
        <v>22</v>
      </c>
    </row>
    <row r="373" spans="1:15">
      <c r="A373" t="s">
        <v>271</v>
      </c>
      <c r="B373" t="s">
        <v>364</v>
      </c>
      <c r="C373" s="5">
        <v>45723</v>
      </c>
      <c r="D373" t="s">
        <v>15</v>
      </c>
      <c r="E373" t="s">
        <v>40</v>
      </c>
      <c r="F373">
        <v>4310</v>
      </c>
      <c r="G373">
        <v>284</v>
      </c>
      <c r="H373">
        <v>306</v>
      </c>
      <c r="I373">
        <v>44606</v>
      </c>
      <c r="J373">
        <v>42604</v>
      </c>
      <c r="K373">
        <v>290</v>
      </c>
      <c r="L373" t="s">
        <v>366</v>
      </c>
      <c r="M373" t="s">
        <v>22</v>
      </c>
      <c r="N373" s="11">
        <f t="shared" si="10"/>
        <v>0.10985069273191947</v>
      </c>
      <c r="O373">
        <f t="shared" si="11"/>
        <v>22</v>
      </c>
    </row>
    <row r="374" spans="1:15">
      <c r="A374" t="s">
        <v>272</v>
      </c>
      <c r="B374" t="s">
        <v>24</v>
      </c>
      <c r="C374" s="5">
        <v>45585</v>
      </c>
      <c r="D374" t="s">
        <v>15</v>
      </c>
      <c r="E374" t="s">
        <v>48</v>
      </c>
      <c r="F374">
        <v>2752</v>
      </c>
      <c r="G374">
        <v>309</v>
      </c>
      <c r="H374">
        <v>91</v>
      </c>
      <c r="I374">
        <v>39038</v>
      </c>
      <c r="J374">
        <v>28095</v>
      </c>
      <c r="K374">
        <v>277</v>
      </c>
      <c r="L374" t="s">
        <v>41</v>
      </c>
      <c r="M374" t="s">
        <v>18</v>
      </c>
      <c r="N374" s="11">
        <f t="shared" si="10"/>
        <v>8.0741841282852611E-2</v>
      </c>
      <c r="O374">
        <f t="shared" si="11"/>
        <v>48</v>
      </c>
    </row>
    <row r="375" spans="1:15">
      <c r="A375" t="s">
        <v>273</v>
      </c>
      <c r="B375" t="s">
        <v>24</v>
      </c>
      <c r="C375" s="5">
        <v>45324</v>
      </c>
      <c r="D375" t="s">
        <v>15</v>
      </c>
      <c r="E375" t="s">
        <v>48</v>
      </c>
      <c r="F375">
        <v>3818</v>
      </c>
      <c r="G375">
        <v>115</v>
      </c>
      <c r="H375">
        <v>286</v>
      </c>
      <c r="I375">
        <v>25127</v>
      </c>
      <c r="J375">
        <v>22277</v>
      </c>
      <c r="K375">
        <v>263</v>
      </c>
      <c r="L375" t="s">
        <v>41</v>
      </c>
      <c r="M375" t="s">
        <v>18</v>
      </c>
      <c r="N375" s="11">
        <f t="shared" si="10"/>
        <v>0.16790703227603773</v>
      </c>
      <c r="O375">
        <f t="shared" si="11"/>
        <v>99</v>
      </c>
    </row>
    <row r="376" spans="1:15">
      <c r="A376" t="s">
        <v>274</v>
      </c>
      <c r="B376" t="s">
        <v>364</v>
      </c>
      <c r="C376" s="5">
        <v>45542</v>
      </c>
      <c r="D376" t="s">
        <v>15</v>
      </c>
      <c r="E376" t="s">
        <v>50</v>
      </c>
      <c r="F376">
        <v>2101</v>
      </c>
      <c r="G376">
        <v>411</v>
      </c>
      <c r="H376">
        <v>190</v>
      </c>
      <c r="I376">
        <v>41791</v>
      </c>
      <c r="J376">
        <v>57090</v>
      </c>
      <c r="K376">
        <v>172</v>
      </c>
      <c r="L376" t="s">
        <v>21</v>
      </c>
      <c r="M376" t="s">
        <v>22</v>
      </c>
      <c r="N376" s="11">
        <f t="shared" si="10"/>
        <v>6.4655069273288512E-2</v>
      </c>
      <c r="O376">
        <f t="shared" si="11"/>
        <v>288</v>
      </c>
    </row>
    <row r="377" spans="1:15">
      <c r="A377" t="s">
        <v>274</v>
      </c>
      <c r="B377" t="s">
        <v>364</v>
      </c>
      <c r="C377" s="5">
        <v>45542</v>
      </c>
      <c r="D377" t="s">
        <v>15</v>
      </c>
      <c r="E377" t="s">
        <v>50</v>
      </c>
      <c r="F377">
        <v>2101</v>
      </c>
      <c r="G377">
        <v>411</v>
      </c>
      <c r="H377">
        <v>190</v>
      </c>
      <c r="I377">
        <v>41791</v>
      </c>
      <c r="J377">
        <v>57090</v>
      </c>
      <c r="K377">
        <v>172</v>
      </c>
      <c r="L377" t="s">
        <v>366</v>
      </c>
      <c r="M377" t="s">
        <v>22</v>
      </c>
      <c r="N377" s="11">
        <f t="shared" si="10"/>
        <v>6.4655069273288512E-2</v>
      </c>
      <c r="O377">
        <f t="shared" si="11"/>
        <v>288</v>
      </c>
    </row>
    <row r="378" spans="1:15">
      <c r="A378" t="s">
        <v>275</v>
      </c>
      <c r="B378" t="s">
        <v>14</v>
      </c>
      <c r="C378" s="5">
        <v>45646</v>
      </c>
      <c r="D378" t="s">
        <v>15</v>
      </c>
      <c r="E378" t="s">
        <v>16</v>
      </c>
      <c r="F378">
        <v>2519</v>
      </c>
      <c r="G378">
        <v>202</v>
      </c>
      <c r="H378">
        <v>239</v>
      </c>
      <c r="I378">
        <v>36245</v>
      </c>
      <c r="J378">
        <v>48606</v>
      </c>
      <c r="K378">
        <v>145</v>
      </c>
      <c r="L378" t="s">
        <v>21</v>
      </c>
      <c r="M378" t="s">
        <v>22</v>
      </c>
      <c r="N378" s="11">
        <f t="shared" si="10"/>
        <v>8.1666436749896543E-2</v>
      </c>
      <c r="O378">
        <f t="shared" si="11"/>
        <v>352</v>
      </c>
    </row>
    <row r="379" spans="1:15">
      <c r="A379" t="s">
        <v>276</v>
      </c>
      <c r="B379" t="s">
        <v>364</v>
      </c>
      <c r="C379" s="5">
        <v>45305</v>
      </c>
      <c r="D379" t="s">
        <v>15</v>
      </c>
      <c r="E379" t="s">
        <v>34</v>
      </c>
      <c r="F379">
        <v>4502</v>
      </c>
      <c r="G379">
        <v>238</v>
      </c>
      <c r="H379">
        <v>386</v>
      </c>
      <c r="I379">
        <v>39198</v>
      </c>
      <c r="J379">
        <v>25050</v>
      </c>
      <c r="K379">
        <v>297</v>
      </c>
      <c r="L379" t="s">
        <v>21</v>
      </c>
      <c r="M379" t="s">
        <v>22</v>
      </c>
      <c r="N379" s="11">
        <f t="shared" si="10"/>
        <v>0.13077197816215114</v>
      </c>
      <c r="O379">
        <f t="shared" si="11"/>
        <v>7</v>
      </c>
    </row>
    <row r="380" spans="1:15">
      <c r="A380" t="s">
        <v>276</v>
      </c>
      <c r="B380" t="s">
        <v>364</v>
      </c>
      <c r="C380" s="5">
        <v>45305</v>
      </c>
      <c r="D380" t="s">
        <v>15</v>
      </c>
      <c r="E380" t="s">
        <v>34</v>
      </c>
      <c r="F380">
        <v>4502</v>
      </c>
      <c r="G380">
        <v>238</v>
      </c>
      <c r="H380">
        <v>386</v>
      </c>
      <c r="I380">
        <v>39198</v>
      </c>
      <c r="J380">
        <v>25050</v>
      </c>
      <c r="K380">
        <v>297</v>
      </c>
      <c r="L380" t="s">
        <v>366</v>
      </c>
      <c r="M380" t="s">
        <v>22</v>
      </c>
      <c r="N380" s="11">
        <f t="shared" si="10"/>
        <v>0.13077197816215114</v>
      </c>
      <c r="O380">
        <f t="shared" si="11"/>
        <v>7</v>
      </c>
    </row>
    <row r="381" spans="1:15">
      <c r="A381" t="s">
        <v>277</v>
      </c>
      <c r="B381" t="s">
        <v>14</v>
      </c>
      <c r="C381" s="5">
        <v>45823</v>
      </c>
      <c r="D381" t="s">
        <v>15</v>
      </c>
      <c r="E381" t="s">
        <v>20</v>
      </c>
      <c r="F381">
        <v>2478</v>
      </c>
      <c r="G381">
        <v>427</v>
      </c>
      <c r="H381">
        <v>242</v>
      </c>
      <c r="I381">
        <v>59272</v>
      </c>
      <c r="J381">
        <v>37833</v>
      </c>
      <c r="K381">
        <v>214</v>
      </c>
      <c r="L381" t="s">
        <v>44</v>
      </c>
      <c r="M381" t="s">
        <v>18</v>
      </c>
      <c r="N381" s="11">
        <f t="shared" si="10"/>
        <v>5.3094209744904843E-2</v>
      </c>
      <c r="O381">
        <f t="shared" si="11"/>
        <v>191</v>
      </c>
    </row>
    <row r="382" spans="1:15">
      <c r="A382" t="s">
        <v>277</v>
      </c>
      <c r="B382" t="s">
        <v>14</v>
      </c>
      <c r="C382" s="5">
        <v>45823</v>
      </c>
      <c r="D382" t="s">
        <v>15</v>
      </c>
      <c r="E382" t="s">
        <v>20</v>
      </c>
      <c r="F382">
        <v>2478</v>
      </c>
      <c r="G382">
        <v>427</v>
      </c>
      <c r="H382">
        <v>242</v>
      </c>
      <c r="I382">
        <v>59272</v>
      </c>
      <c r="J382">
        <v>37833</v>
      </c>
      <c r="K382">
        <v>214</v>
      </c>
      <c r="L382" t="s">
        <v>41</v>
      </c>
      <c r="M382" t="s">
        <v>18</v>
      </c>
      <c r="N382" s="11">
        <f t="shared" si="10"/>
        <v>5.3094209744904843E-2</v>
      </c>
      <c r="O382">
        <f t="shared" si="11"/>
        <v>191</v>
      </c>
    </row>
    <row r="383" spans="1:15">
      <c r="A383" t="s">
        <v>278</v>
      </c>
      <c r="B383" t="s">
        <v>24</v>
      </c>
      <c r="C383" s="5">
        <v>45639</v>
      </c>
      <c r="D383" t="s">
        <v>25</v>
      </c>
      <c r="E383" t="s">
        <v>26</v>
      </c>
      <c r="F383">
        <v>4984</v>
      </c>
      <c r="G383">
        <v>300</v>
      </c>
      <c r="H383">
        <v>338</v>
      </c>
      <c r="I383">
        <v>32900</v>
      </c>
      <c r="J383">
        <v>31691</v>
      </c>
      <c r="K383">
        <v>160</v>
      </c>
      <c r="L383" t="s">
        <v>365</v>
      </c>
      <c r="M383" t="s">
        <v>18</v>
      </c>
      <c r="N383" s="11">
        <f t="shared" si="10"/>
        <v>0.17088145896656534</v>
      </c>
      <c r="O383">
        <f t="shared" si="11"/>
        <v>314</v>
      </c>
    </row>
    <row r="384" spans="1:15">
      <c r="A384" t="s">
        <v>278</v>
      </c>
      <c r="B384" t="s">
        <v>24</v>
      </c>
      <c r="C384" s="5">
        <v>45639</v>
      </c>
      <c r="D384" t="s">
        <v>25</v>
      </c>
      <c r="E384" t="s">
        <v>26</v>
      </c>
      <c r="F384">
        <v>4984</v>
      </c>
      <c r="G384">
        <v>300</v>
      </c>
      <c r="H384">
        <v>338</v>
      </c>
      <c r="I384">
        <v>32900</v>
      </c>
      <c r="J384">
        <v>31691</v>
      </c>
      <c r="K384">
        <v>160</v>
      </c>
      <c r="L384" t="s">
        <v>41</v>
      </c>
      <c r="M384" t="s">
        <v>18</v>
      </c>
      <c r="N384" s="11">
        <f t="shared" si="10"/>
        <v>0.17088145896656534</v>
      </c>
      <c r="O384">
        <f t="shared" si="11"/>
        <v>314</v>
      </c>
    </row>
    <row r="385" spans="1:15">
      <c r="A385" t="s">
        <v>279</v>
      </c>
      <c r="B385" t="s">
        <v>364</v>
      </c>
      <c r="C385" s="5">
        <v>45533</v>
      </c>
      <c r="D385" t="s">
        <v>15</v>
      </c>
      <c r="E385" t="s">
        <v>29</v>
      </c>
      <c r="F385">
        <v>4774</v>
      </c>
      <c r="G385">
        <v>389</v>
      </c>
      <c r="H385">
        <v>358</v>
      </c>
      <c r="I385">
        <v>52346</v>
      </c>
      <c r="J385">
        <v>30518</v>
      </c>
      <c r="K385">
        <v>277</v>
      </c>
      <c r="L385" t="s">
        <v>21</v>
      </c>
      <c r="M385" t="s">
        <v>22</v>
      </c>
      <c r="N385" s="11">
        <f t="shared" si="10"/>
        <v>0.10547128720437092</v>
      </c>
      <c r="O385">
        <f t="shared" si="11"/>
        <v>48</v>
      </c>
    </row>
    <row r="386" spans="1:15">
      <c r="A386" t="s">
        <v>279</v>
      </c>
      <c r="B386" t="s">
        <v>364</v>
      </c>
      <c r="C386" s="5">
        <v>45533</v>
      </c>
      <c r="D386" t="s">
        <v>15</v>
      </c>
      <c r="E386" t="s">
        <v>29</v>
      </c>
      <c r="F386">
        <v>4774</v>
      </c>
      <c r="G386">
        <v>389</v>
      </c>
      <c r="H386">
        <v>358</v>
      </c>
      <c r="I386">
        <v>52346</v>
      </c>
      <c r="J386">
        <v>30518</v>
      </c>
      <c r="K386">
        <v>277</v>
      </c>
      <c r="L386" t="s">
        <v>366</v>
      </c>
      <c r="M386" t="s">
        <v>22</v>
      </c>
      <c r="N386" s="11">
        <f t="shared" ref="N386:N449" si="12">(F386+G386+H386)/I386</f>
        <v>0.10547128720437092</v>
      </c>
      <c r="O386">
        <f t="shared" ref="O386:O449" si="13">_xlfn.RANK.EQ(K386,K:K,0)</f>
        <v>48</v>
      </c>
    </row>
    <row r="387" spans="1:15">
      <c r="A387" t="s">
        <v>280</v>
      </c>
      <c r="B387" t="s">
        <v>24</v>
      </c>
      <c r="C387" s="5">
        <v>45550</v>
      </c>
      <c r="D387" t="s">
        <v>15</v>
      </c>
      <c r="E387" t="s">
        <v>36</v>
      </c>
      <c r="F387">
        <v>2145</v>
      </c>
      <c r="G387">
        <v>340</v>
      </c>
      <c r="H387">
        <v>85</v>
      </c>
      <c r="I387">
        <v>53323</v>
      </c>
      <c r="J387">
        <v>49938</v>
      </c>
      <c r="K387">
        <v>104</v>
      </c>
      <c r="L387" t="s">
        <v>41</v>
      </c>
      <c r="M387" t="s">
        <v>18</v>
      </c>
      <c r="N387" s="11">
        <f t="shared" si="12"/>
        <v>4.819683813738912E-2</v>
      </c>
      <c r="O387">
        <f t="shared" si="13"/>
        <v>429</v>
      </c>
    </row>
    <row r="388" spans="1:15">
      <c r="A388" t="s">
        <v>281</v>
      </c>
      <c r="B388" t="s">
        <v>24</v>
      </c>
      <c r="C388" s="5">
        <v>45759</v>
      </c>
      <c r="D388" t="s">
        <v>25</v>
      </c>
      <c r="E388" t="s">
        <v>48</v>
      </c>
      <c r="F388">
        <v>4315</v>
      </c>
      <c r="G388">
        <v>208</v>
      </c>
      <c r="H388">
        <v>273</v>
      </c>
      <c r="I388">
        <v>35780</v>
      </c>
      <c r="J388">
        <v>44349</v>
      </c>
      <c r="K388">
        <v>133</v>
      </c>
      <c r="L388" t="s">
        <v>21</v>
      </c>
      <c r="M388" t="s">
        <v>18</v>
      </c>
      <c r="N388" s="11">
        <f t="shared" si="12"/>
        <v>0.13404136389044158</v>
      </c>
      <c r="O388">
        <f t="shared" si="13"/>
        <v>365</v>
      </c>
    </row>
    <row r="389" spans="1:15">
      <c r="A389" t="s">
        <v>281</v>
      </c>
      <c r="B389" t="s">
        <v>24</v>
      </c>
      <c r="C389" s="5">
        <v>45759</v>
      </c>
      <c r="D389" t="s">
        <v>25</v>
      </c>
      <c r="E389" t="s">
        <v>48</v>
      </c>
      <c r="F389">
        <v>4315</v>
      </c>
      <c r="G389">
        <v>208</v>
      </c>
      <c r="H389">
        <v>273</v>
      </c>
      <c r="I389">
        <v>35780</v>
      </c>
      <c r="J389">
        <v>44349</v>
      </c>
      <c r="K389">
        <v>133</v>
      </c>
      <c r="L389" t="s">
        <v>365</v>
      </c>
      <c r="M389" t="s">
        <v>18</v>
      </c>
      <c r="N389" s="11">
        <f t="shared" si="12"/>
        <v>0.13404136389044158</v>
      </c>
      <c r="O389">
        <f t="shared" si="13"/>
        <v>365</v>
      </c>
    </row>
    <row r="390" spans="1:15">
      <c r="A390" t="s">
        <v>282</v>
      </c>
      <c r="B390" t="s">
        <v>24</v>
      </c>
      <c r="C390" s="5">
        <v>45636</v>
      </c>
      <c r="D390" t="s">
        <v>25</v>
      </c>
      <c r="E390" t="s">
        <v>29</v>
      </c>
      <c r="F390">
        <v>2267</v>
      </c>
      <c r="G390">
        <v>230</v>
      </c>
      <c r="H390">
        <v>243</v>
      </c>
      <c r="I390">
        <v>27904</v>
      </c>
      <c r="J390">
        <v>69771</v>
      </c>
      <c r="K390">
        <v>255</v>
      </c>
      <c r="L390" t="s">
        <v>21</v>
      </c>
      <c r="M390" t="s">
        <v>18</v>
      </c>
      <c r="N390" s="11">
        <f t="shared" si="12"/>
        <v>9.8193807339449546E-2</v>
      </c>
      <c r="O390">
        <f t="shared" si="13"/>
        <v>114</v>
      </c>
    </row>
    <row r="391" spans="1:15">
      <c r="A391" t="s">
        <v>282</v>
      </c>
      <c r="B391" t="s">
        <v>24</v>
      </c>
      <c r="C391" s="5">
        <v>45636</v>
      </c>
      <c r="D391" t="s">
        <v>25</v>
      </c>
      <c r="E391" t="s">
        <v>29</v>
      </c>
      <c r="F391">
        <v>2267</v>
      </c>
      <c r="G391">
        <v>230</v>
      </c>
      <c r="H391">
        <v>243</v>
      </c>
      <c r="I391">
        <v>27904</v>
      </c>
      <c r="J391">
        <v>69771</v>
      </c>
      <c r="K391">
        <v>255</v>
      </c>
      <c r="L391" t="s">
        <v>365</v>
      </c>
      <c r="M391" t="s">
        <v>18</v>
      </c>
      <c r="N391" s="11">
        <f t="shared" si="12"/>
        <v>9.8193807339449546E-2</v>
      </c>
      <c r="O391">
        <f t="shared" si="13"/>
        <v>114</v>
      </c>
    </row>
    <row r="392" spans="1:15">
      <c r="A392" t="s">
        <v>283</v>
      </c>
      <c r="B392" t="s">
        <v>364</v>
      </c>
      <c r="C392" s="5">
        <v>45816</v>
      </c>
      <c r="D392" t="s">
        <v>15</v>
      </c>
      <c r="E392" t="s">
        <v>31</v>
      </c>
      <c r="F392">
        <v>4375</v>
      </c>
      <c r="G392">
        <v>303</v>
      </c>
      <c r="H392">
        <v>294</v>
      </c>
      <c r="I392">
        <v>57468</v>
      </c>
      <c r="J392">
        <v>53397</v>
      </c>
      <c r="K392">
        <v>159</v>
      </c>
      <c r="L392" t="s">
        <v>21</v>
      </c>
      <c r="M392" t="s">
        <v>22</v>
      </c>
      <c r="N392" s="11">
        <f t="shared" si="12"/>
        <v>8.6517714206166912E-2</v>
      </c>
      <c r="O392">
        <f t="shared" si="13"/>
        <v>323</v>
      </c>
    </row>
    <row r="393" spans="1:15">
      <c r="A393" t="s">
        <v>283</v>
      </c>
      <c r="B393" t="s">
        <v>364</v>
      </c>
      <c r="C393" s="5">
        <v>45816</v>
      </c>
      <c r="D393" t="s">
        <v>15</v>
      </c>
      <c r="E393" t="s">
        <v>31</v>
      </c>
      <c r="F393">
        <v>4375</v>
      </c>
      <c r="G393">
        <v>303</v>
      </c>
      <c r="H393">
        <v>294</v>
      </c>
      <c r="I393">
        <v>57468</v>
      </c>
      <c r="J393">
        <v>53397</v>
      </c>
      <c r="K393">
        <v>159</v>
      </c>
      <c r="L393" t="s">
        <v>366</v>
      </c>
      <c r="M393" t="s">
        <v>22</v>
      </c>
      <c r="N393" s="11">
        <f t="shared" si="12"/>
        <v>8.6517714206166912E-2</v>
      </c>
      <c r="O393">
        <f t="shared" si="13"/>
        <v>323</v>
      </c>
    </row>
    <row r="394" spans="1:15">
      <c r="A394" t="s">
        <v>284</v>
      </c>
      <c r="B394" t="s">
        <v>24</v>
      </c>
      <c r="C394" s="5">
        <v>45666</v>
      </c>
      <c r="D394" t="s">
        <v>25</v>
      </c>
      <c r="E394" t="s">
        <v>50</v>
      </c>
      <c r="F394">
        <v>3817</v>
      </c>
      <c r="G394">
        <v>284</v>
      </c>
      <c r="H394">
        <v>204</v>
      </c>
      <c r="I394">
        <v>46434</v>
      </c>
      <c r="J394">
        <v>53396</v>
      </c>
      <c r="K394">
        <v>104</v>
      </c>
      <c r="L394" t="s">
        <v>365</v>
      </c>
      <c r="M394" t="s">
        <v>18</v>
      </c>
      <c r="N394" s="11">
        <f t="shared" si="12"/>
        <v>9.2712236723090841E-2</v>
      </c>
      <c r="O394">
        <f t="shared" si="13"/>
        <v>429</v>
      </c>
    </row>
    <row r="395" spans="1:15">
      <c r="A395" t="s">
        <v>284</v>
      </c>
      <c r="B395" t="s">
        <v>24</v>
      </c>
      <c r="C395" s="5">
        <v>45666</v>
      </c>
      <c r="D395" t="s">
        <v>25</v>
      </c>
      <c r="E395" t="s">
        <v>50</v>
      </c>
      <c r="F395">
        <v>3817</v>
      </c>
      <c r="G395">
        <v>284</v>
      </c>
      <c r="H395">
        <v>204</v>
      </c>
      <c r="I395">
        <v>46434</v>
      </c>
      <c r="J395">
        <v>53396</v>
      </c>
      <c r="K395">
        <v>104</v>
      </c>
      <c r="L395" t="s">
        <v>41</v>
      </c>
      <c r="M395" t="s">
        <v>18</v>
      </c>
      <c r="N395" s="11">
        <f t="shared" si="12"/>
        <v>9.2712236723090841E-2</v>
      </c>
      <c r="O395">
        <f t="shared" si="13"/>
        <v>429</v>
      </c>
    </row>
    <row r="396" spans="1:15">
      <c r="A396" t="s">
        <v>285</v>
      </c>
      <c r="B396" t="s">
        <v>24</v>
      </c>
      <c r="C396" s="5">
        <v>45481</v>
      </c>
      <c r="D396" t="s">
        <v>25</v>
      </c>
      <c r="E396" t="s">
        <v>40</v>
      </c>
      <c r="F396">
        <v>2981</v>
      </c>
      <c r="G396">
        <v>258</v>
      </c>
      <c r="H396">
        <v>168</v>
      </c>
      <c r="I396">
        <v>20677</v>
      </c>
      <c r="J396">
        <v>68290</v>
      </c>
      <c r="K396">
        <v>130</v>
      </c>
      <c r="L396" t="s">
        <v>44</v>
      </c>
      <c r="M396" t="s">
        <v>18</v>
      </c>
      <c r="N396" s="11">
        <f t="shared" si="12"/>
        <v>0.16477245248343569</v>
      </c>
      <c r="O396">
        <f t="shared" si="13"/>
        <v>376</v>
      </c>
    </row>
    <row r="397" spans="1:15">
      <c r="A397" t="s">
        <v>285</v>
      </c>
      <c r="B397" t="s">
        <v>24</v>
      </c>
      <c r="C397" s="5">
        <v>45481</v>
      </c>
      <c r="D397" t="s">
        <v>25</v>
      </c>
      <c r="E397" t="s">
        <v>40</v>
      </c>
      <c r="F397">
        <v>2981</v>
      </c>
      <c r="G397">
        <v>258</v>
      </c>
      <c r="H397">
        <v>168</v>
      </c>
      <c r="I397">
        <v>20677</v>
      </c>
      <c r="J397">
        <v>68290</v>
      </c>
      <c r="K397">
        <v>130</v>
      </c>
      <c r="L397" t="s">
        <v>41</v>
      </c>
      <c r="M397" t="s">
        <v>18</v>
      </c>
      <c r="N397" s="11">
        <f t="shared" si="12"/>
        <v>0.16477245248343569</v>
      </c>
      <c r="O397">
        <f t="shared" si="13"/>
        <v>376</v>
      </c>
    </row>
    <row r="398" spans="1:15">
      <c r="A398" t="s">
        <v>286</v>
      </c>
      <c r="B398" t="s">
        <v>24</v>
      </c>
      <c r="C398" s="5">
        <v>45551</v>
      </c>
      <c r="D398" t="s">
        <v>25</v>
      </c>
      <c r="E398" t="s">
        <v>50</v>
      </c>
      <c r="F398">
        <v>3300</v>
      </c>
      <c r="G398">
        <v>354</v>
      </c>
      <c r="H398">
        <v>397</v>
      </c>
      <c r="I398">
        <v>56773</v>
      </c>
      <c r="J398">
        <v>72110</v>
      </c>
      <c r="K398">
        <v>163</v>
      </c>
      <c r="L398" t="s">
        <v>21</v>
      </c>
      <c r="M398" t="s">
        <v>18</v>
      </c>
      <c r="N398" s="11">
        <f t="shared" si="12"/>
        <v>7.1354340971940891E-2</v>
      </c>
      <c r="O398">
        <f t="shared" si="13"/>
        <v>307</v>
      </c>
    </row>
    <row r="399" spans="1:15">
      <c r="A399" t="s">
        <v>286</v>
      </c>
      <c r="B399" t="s">
        <v>24</v>
      </c>
      <c r="C399" s="5">
        <v>45551</v>
      </c>
      <c r="D399" t="s">
        <v>25</v>
      </c>
      <c r="E399" t="s">
        <v>50</v>
      </c>
      <c r="F399">
        <v>3300</v>
      </c>
      <c r="G399">
        <v>354</v>
      </c>
      <c r="H399">
        <v>397</v>
      </c>
      <c r="I399">
        <v>56773</v>
      </c>
      <c r="J399">
        <v>72110</v>
      </c>
      <c r="K399">
        <v>163</v>
      </c>
      <c r="L399" t="s">
        <v>365</v>
      </c>
      <c r="M399" t="s">
        <v>18</v>
      </c>
      <c r="N399" s="11">
        <f t="shared" si="12"/>
        <v>7.1354340971940891E-2</v>
      </c>
      <c r="O399">
        <f t="shared" si="13"/>
        <v>307</v>
      </c>
    </row>
    <row r="400" spans="1:15">
      <c r="A400" t="s">
        <v>287</v>
      </c>
      <c r="B400" t="s">
        <v>364</v>
      </c>
      <c r="C400" s="5">
        <v>45457</v>
      </c>
      <c r="D400" t="s">
        <v>56</v>
      </c>
      <c r="E400" t="s">
        <v>29</v>
      </c>
      <c r="F400">
        <v>4722</v>
      </c>
      <c r="G400">
        <v>310</v>
      </c>
      <c r="H400">
        <v>344</v>
      </c>
      <c r="I400">
        <v>27911</v>
      </c>
      <c r="J400">
        <v>19000</v>
      </c>
      <c r="K400">
        <v>225</v>
      </c>
      <c r="L400" t="s">
        <v>21</v>
      </c>
      <c r="M400" t="s">
        <v>58</v>
      </c>
      <c r="N400" s="11">
        <f t="shared" si="12"/>
        <v>0.19261223173659131</v>
      </c>
      <c r="O400">
        <f t="shared" si="13"/>
        <v>167</v>
      </c>
    </row>
    <row r="401" spans="1:15">
      <c r="A401" t="s">
        <v>287</v>
      </c>
      <c r="B401" t="s">
        <v>364</v>
      </c>
      <c r="C401" s="5">
        <v>45457</v>
      </c>
      <c r="D401" t="s">
        <v>56</v>
      </c>
      <c r="E401" t="s">
        <v>29</v>
      </c>
      <c r="F401">
        <v>4722</v>
      </c>
      <c r="G401">
        <v>310</v>
      </c>
      <c r="H401">
        <v>344</v>
      </c>
      <c r="I401">
        <v>27911</v>
      </c>
      <c r="J401">
        <v>19000</v>
      </c>
      <c r="K401">
        <v>225</v>
      </c>
      <c r="L401" t="s">
        <v>44</v>
      </c>
      <c r="M401" t="s">
        <v>58</v>
      </c>
      <c r="N401" s="11">
        <f t="shared" si="12"/>
        <v>0.19261223173659131</v>
      </c>
      <c r="O401">
        <f t="shared" si="13"/>
        <v>167</v>
      </c>
    </row>
    <row r="402" spans="1:15">
      <c r="A402" t="s">
        <v>288</v>
      </c>
      <c r="B402" t="s">
        <v>14</v>
      </c>
      <c r="C402" s="5">
        <v>45357</v>
      </c>
      <c r="D402" t="s">
        <v>15</v>
      </c>
      <c r="E402" t="s">
        <v>34</v>
      </c>
      <c r="F402">
        <v>3529</v>
      </c>
      <c r="G402">
        <v>263</v>
      </c>
      <c r="H402">
        <v>107</v>
      </c>
      <c r="I402">
        <v>26570</v>
      </c>
      <c r="J402">
        <v>19367</v>
      </c>
      <c r="K402">
        <v>96</v>
      </c>
      <c r="L402" t="s">
        <v>21</v>
      </c>
      <c r="M402" t="s">
        <v>22</v>
      </c>
      <c r="N402" s="11">
        <f t="shared" si="12"/>
        <v>0.14674444862627023</v>
      </c>
      <c r="O402">
        <f t="shared" si="13"/>
        <v>446</v>
      </c>
    </row>
    <row r="403" spans="1:15">
      <c r="A403" t="s">
        <v>289</v>
      </c>
      <c r="B403" t="s">
        <v>24</v>
      </c>
      <c r="C403" s="5">
        <v>45792</v>
      </c>
      <c r="D403" t="s">
        <v>15</v>
      </c>
      <c r="E403" t="s">
        <v>50</v>
      </c>
      <c r="F403">
        <v>4782</v>
      </c>
      <c r="G403">
        <v>210</v>
      </c>
      <c r="H403">
        <v>311</v>
      </c>
      <c r="I403">
        <v>29793</v>
      </c>
      <c r="J403">
        <v>37543</v>
      </c>
      <c r="K403">
        <v>145</v>
      </c>
      <c r="L403" t="s">
        <v>41</v>
      </c>
      <c r="M403" t="s">
        <v>18</v>
      </c>
      <c r="N403" s="11">
        <f t="shared" si="12"/>
        <v>0.17799483100057059</v>
      </c>
      <c r="O403">
        <f t="shared" si="13"/>
        <v>352</v>
      </c>
    </row>
    <row r="404" spans="1:15">
      <c r="A404" t="s">
        <v>290</v>
      </c>
      <c r="B404" t="s">
        <v>24</v>
      </c>
      <c r="C404" s="5">
        <v>45480</v>
      </c>
      <c r="D404" t="s">
        <v>15</v>
      </c>
      <c r="E404" t="s">
        <v>34</v>
      </c>
      <c r="F404">
        <v>1848</v>
      </c>
      <c r="G404">
        <v>417</v>
      </c>
      <c r="H404">
        <v>294</v>
      </c>
      <c r="I404">
        <v>57819</v>
      </c>
      <c r="J404">
        <v>19798</v>
      </c>
      <c r="K404">
        <v>262</v>
      </c>
      <c r="L404" t="s">
        <v>44</v>
      </c>
      <c r="M404" t="s">
        <v>22</v>
      </c>
      <c r="N404" s="11">
        <f t="shared" si="12"/>
        <v>4.4258807658382193E-2</v>
      </c>
      <c r="O404">
        <f t="shared" si="13"/>
        <v>102</v>
      </c>
    </row>
    <row r="405" spans="1:15">
      <c r="A405" t="s">
        <v>291</v>
      </c>
      <c r="B405" t="s">
        <v>364</v>
      </c>
      <c r="C405" s="5">
        <v>45591</v>
      </c>
      <c r="D405" t="s">
        <v>15</v>
      </c>
      <c r="E405" t="s">
        <v>26</v>
      </c>
      <c r="F405">
        <v>4676</v>
      </c>
      <c r="G405">
        <v>211</v>
      </c>
      <c r="H405">
        <v>55</v>
      </c>
      <c r="I405">
        <v>45917</v>
      </c>
      <c r="J405">
        <v>73503</v>
      </c>
      <c r="K405">
        <v>248</v>
      </c>
      <c r="L405" t="s">
        <v>21</v>
      </c>
      <c r="M405" t="s">
        <v>22</v>
      </c>
      <c r="N405" s="11">
        <f t="shared" si="12"/>
        <v>0.10762898272970794</v>
      </c>
      <c r="O405">
        <f t="shared" si="13"/>
        <v>119</v>
      </c>
    </row>
    <row r="406" spans="1:15">
      <c r="A406" t="s">
        <v>291</v>
      </c>
      <c r="B406" t="s">
        <v>364</v>
      </c>
      <c r="C406" s="5">
        <v>45591</v>
      </c>
      <c r="D406" t="s">
        <v>15</v>
      </c>
      <c r="E406" t="s">
        <v>26</v>
      </c>
      <c r="F406">
        <v>4676</v>
      </c>
      <c r="G406">
        <v>211</v>
      </c>
      <c r="H406">
        <v>55</v>
      </c>
      <c r="I406">
        <v>45917</v>
      </c>
      <c r="J406">
        <v>73503</v>
      </c>
      <c r="K406">
        <v>248</v>
      </c>
      <c r="L406" t="s">
        <v>366</v>
      </c>
      <c r="M406" t="s">
        <v>22</v>
      </c>
      <c r="N406" s="11">
        <f t="shared" si="12"/>
        <v>0.10762898272970794</v>
      </c>
      <c r="O406">
        <f t="shared" si="13"/>
        <v>119</v>
      </c>
    </row>
    <row r="407" spans="1:15">
      <c r="A407" t="s">
        <v>292</v>
      </c>
      <c r="B407" t="s">
        <v>364</v>
      </c>
      <c r="C407" s="5">
        <v>45512</v>
      </c>
      <c r="D407" t="s">
        <v>15</v>
      </c>
      <c r="E407" t="s">
        <v>48</v>
      </c>
      <c r="F407">
        <v>1994</v>
      </c>
      <c r="G407">
        <v>197</v>
      </c>
      <c r="H407">
        <v>290</v>
      </c>
      <c r="I407">
        <v>49500</v>
      </c>
      <c r="J407">
        <v>23343</v>
      </c>
      <c r="K407">
        <v>160</v>
      </c>
      <c r="L407" t="s">
        <v>21</v>
      </c>
      <c r="M407" t="s">
        <v>22</v>
      </c>
      <c r="N407" s="11">
        <f t="shared" si="12"/>
        <v>5.0121212121212122E-2</v>
      </c>
      <c r="O407">
        <f t="shared" si="13"/>
        <v>314</v>
      </c>
    </row>
    <row r="408" spans="1:15">
      <c r="A408" t="s">
        <v>292</v>
      </c>
      <c r="B408" t="s">
        <v>364</v>
      </c>
      <c r="C408" s="5">
        <v>45512</v>
      </c>
      <c r="D408" t="s">
        <v>15</v>
      </c>
      <c r="E408" t="s">
        <v>48</v>
      </c>
      <c r="F408">
        <v>1994</v>
      </c>
      <c r="G408">
        <v>197</v>
      </c>
      <c r="H408">
        <v>290</v>
      </c>
      <c r="I408">
        <v>49500</v>
      </c>
      <c r="J408">
        <v>23343</v>
      </c>
      <c r="K408">
        <v>160</v>
      </c>
      <c r="L408" t="s">
        <v>366</v>
      </c>
      <c r="M408" t="s">
        <v>22</v>
      </c>
      <c r="N408" s="11">
        <f t="shared" si="12"/>
        <v>5.0121212121212122E-2</v>
      </c>
      <c r="O408">
        <f t="shared" si="13"/>
        <v>314</v>
      </c>
    </row>
    <row r="409" spans="1:15">
      <c r="A409" t="s">
        <v>293</v>
      </c>
      <c r="B409" t="s">
        <v>24</v>
      </c>
      <c r="C409" s="5">
        <v>45691</v>
      </c>
      <c r="D409" t="s">
        <v>15</v>
      </c>
      <c r="E409" t="s">
        <v>34</v>
      </c>
      <c r="F409">
        <v>4995</v>
      </c>
      <c r="G409">
        <v>231</v>
      </c>
      <c r="H409">
        <v>94</v>
      </c>
      <c r="I409">
        <v>34431</v>
      </c>
      <c r="J409">
        <v>32560</v>
      </c>
      <c r="K409">
        <v>262</v>
      </c>
      <c r="L409" t="s">
        <v>41</v>
      </c>
      <c r="M409" t="s">
        <v>18</v>
      </c>
      <c r="N409" s="11">
        <f t="shared" si="12"/>
        <v>0.15451192239551567</v>
      </c>
      <c r="O409">
        <f t="shared" si="13"/>
        <v>102</v>
      </c>
    </row>
    <row r="410" spans="1:15">
      <c r="A410" t="s">
        <v>294</v>
      </c>
      <c r="B410" t="s">
        <v>24</v>
      </c>
      <c r="C410" s="5">
        <v>45385</v>
      </c>
      <c r="D410" t="s">
        <v>25</v>
      </c>
      <c r="E410" t="s">
        <v>40</v>
      </c>
      <c r="F410">
        <v>2291</v>
      </c>
      <c r="G410">
        <v>146</v>
      </c>
      <c r="H410">
        <v>399</v>
      </c>
      <c r="I410">
        <v>49319</v>
      </c>
      <c r="J410">
        <v>28056</v>
      </c>
      <c r="K410">
        <v>90</v>
      </c>
      <c r="L410" t="s">
        <v>21</v>
      </c>
      <c r="M410" t="s">
        <v>18</v>
      </c>
      <c r="N410" s="11">
        <f t="shared" si="12"/>
        <v>5.7503193495407452E-2</v>
      </c>
      <c r="O410">
        <f t="shared" si="13"/>
        <v>454</v>
      </c>
    </row>
    <row r="411" spans="1:15">
      <c r="A411" t="s">
        <v>294</v>
      </c>
      <c r="B411" t="s">
        <v>24</v>
      </c>
      <c r="C411" s="5">
        <v>45385</v>
      </c>
      <c r="D411" t="s">
        <v>25</v>
      </c>
      <c r="E411" t="s">
        <v>40</v>
      </c>
      <c r="F411">
        <v>2291</v>
      </c>
      <c r="G411">
        <v>146</v>
      </c>
      <c r="H411">
        <v>399</v>
      </c>
      <c r="I411">
        <v>49319</v>
      </c>
      <c r="J411">
        <v>28056</v>
      </c>
      <c r="K411">
        <v>90</v>
      </c>
      <c r="L411" t="s">
        <v>365</v>
      </c>
      <c r="M411" t="s">
        <v>18</v>
      </c>
      <c r="N411" s="11">
        <f t="shared" si="12"/>
        <v>5.7503193495407452E-2</v>
      </c>
      <c r="O411">
        <f t="shared" si="13"/>
        <v>454</v>
      </c>
    </row>
    <row r="412" spans="1:15">
      <c r="A412" t="s">
        <v>295</v>
      </c>
      <c r="B412" t="s">
        <v>24</v>
      </c>
      <c r="C412" s="5">
        <v>45481</v>
      </c>
      <c r="D412" t="s">
        <v>25</v>
      </c>
      <c r="E412" t="s">
        <v>29</v>
      </c>
      <c r="F412">
        <v>2304</v>
      </c>
      <c r="G412">
        <v>289</v>
      </c>
      <c r="H412">
        <v>161</v>
      </c>
      <c r="I412">
        <v>52645</v>
      </c>
      <c r="J412">
        <v>66262</v>
      </c>
      <c r="K412">
        <v>146</v>
      </c>
      <c r="L412" t="s">
        <v>365</v>
      </c>
      <c r="M412" t="s">
        <v>18</v>
      </c>
      <c r="N412" s="11">
        <f t="shared" si="12"/>
        <v>5.2312660271630736E-2</v>
      </c>
      <c r="O412">
        <f t="shared" si="13"/>
        <v>350</v>
      </c>
    </row>
    <row r="413" spans="1:15">
      <c r="A413" t="s">
        <v>295</v>
      </c>
      <c r="B413" t="s">
        <v>24</v>
      </c>
      <c r="C413" s="5">
        <v>45481</v>
      </c>
      <c r="D413" t="s">
        <v>25</v>
      </c>
      <c r="E413" t="s">
        <v>29</v>
      </c>
      <c r="F413">
        <v>2304</v>
      </c>
      <c r="G413">
        <v>289</v>
      </c>
      <c r="H413">
        <v>161</v>
      </c>
      <c r="I413">
        <v>52645</v>
      </c>
      <c r="J413">
        <v>66262</v>
      </c>
      <c r="K413">
        <v>146</v>
      </c>
      <c r="L413" t="s">
        <v>41</v>
      </c>
      <c r="M413" t="s">
        <v>18</v>
      </c>
      <c r="N413" s="11">
        <f t="shared" si="12"/>
        <v>5.2312660271630736E-2</v>
      </c>
      <c r="O413">
        <f t="shared" si="13"/>
        <v>350</v>
      </c>
    </row>
    <row r="414" spans="1:15">
      <c r="A414" t="s">
        <v>296</v>
      </c>
      <c r="B414" t="s">
        <v>24</v>
      </c>
      <c r="C414" s="5">
        <v>45451</v>
      </c>
      <c r="D414" t="s">
        <v>25</v>
      </c>
      <c r="E414" t="s">
        <v>40</v>
      </c>
      <c r="F414">
        <v>3413</v>
      </c>
      <c r="G414">
        <v>326</v>
      </c>
      <c r="H414">
        <v>86</v>
      </c>
      <c r="I414">
        <v>44680</v>
      </c>
      <c r="J414">
        <v>52719</v>
      </c>
      <c r="K414">
        <v>272</v>
      </c>
      <c r="L414" t="s">
        <v>21</v>
      </c>
      <c r="M414" t="s">
        <v>18</v>
      </c>
      <c r="N414" s="11">
        <f t="shared" si="12"/>
        <v>8.5608773500447627E-2</v>
      </c>
      <c r="O414">
        <f t="shared" si="13"/>
        <v>65</v>
      </c>
    </row>
    <row r="415" spans="1:15">
      <c r="A415" t="s">
        <v>296</v>
      </c>
      <c r="B415" t="s">
        <v>24</v>
      </c>
      <c r="C415" s="5">
        <v>45451</v>
      </c>
      <c r="D415" t="s">
        <v>25</v>
      </c>
      <c r="E415" t="s">
        <v>40</v>
      </c>
      <c r="F415">
        <v>3413</v>
      </c>
      <c r="G415">
        <v>326</v>
      </c>
      <c r="H415">
        <v>86</v>
      </c>
      <c r="I415">
        <v>44680</v>
      </c>
      <c r="J415">
        <v>52719</v>
      </c>
      <c r="K415">
        <v>272</v>
      </c>
      <c r="L415" t="s">
        <v>365</v>
      </c>
      <c r="M415" t="s">
        <v>18</v>
      </c>
      <c r="N415" s="11">
        <f t="shared" si="12"/>
        <v>8.5608773500447627E-2</v>
      </c>
      <c r="O415">
        <f t="shared" si="13"/>
        <v>65</v>
      </c>
    </row>
    <row r="416" spans="1:15">
      <c r="A416" t="s">
        <v>297</v>
      </c>
      <c r="B416" t="s">
        <v>364</v>
      </c>
      <c r="C416" s="5">
        <v>45736</v>
      </c>
      <c r="D416" t="s">
        <v>56</v>
      </c>
      <c r="E416" t="s">
        <v>48</v>
      </c>
      <c r="F416">
        <v>1453</v>
      </c>
      <c r="G416">
        <v>156</v>
      </c>
      <c r="H416">
        <v>178</v>
      </c>
      <c r="I416">
        <v>52980</v>
      </c>
      <c r="J416">
        <v>57180</v>
      </c>
      <c r="K416">
        <v>286</v>
      </c>
      <c r="L416" t="s">
        <v>21</v>
      </c>
      <c r="M416" t="s">
        <v>58</v>
      </c>
      <c r="N416" s="11">
        <f t="shared" si="12"/>
        <v>3.3729709324273313E-2</v>
      </c>
      <c r="O416">
        <f t="shared" si="13"/>
        <v>33</v>
      </c>
    </row>
    <row r="417" spans="1:15">
      <c r="A417" t="s">
        <v>297</v>
      </c>
      <c r="B417" t="s">
        <v>364</v>
      </c>
      <c r="C417" s="5">
        <v>45736</v>
      </c>
      <c r="D417" t="s">
        <v>56</v>
      </c>
      <c r="E417" t="s">
        <v>48</v>
      </c>
      <c r="F417">
        <v>1453</v>
      </c>
      <c r="G417">
        <v>156</v>
      </c>
      <c r="H417">
        <v>178</v>
      </c>
      <c r="I417">
        <v>52980</v>
      </c>
      <c r="J417">
        <v>57180</v>
      </c>
      <c r="K417">
        <v>286</v>
      </c>
      <c r="L417" t="s">
        <v>44</v>
      </c>
      <c r="M417" t="s">
        <v>58</v>
      </c>
      <c r="N417" s="11">
        <f t="shared" si="12"/>
        <v>3.3729709324273313E-2</v>
      </c>
      <c r="O417">
        <f t="shared" si="13"/>
        <v>33</v>
      </c>
    </row>
    <row r="418" spans="1:15">
      <c r="A418" t="s">
        <v>298</v>
      </c>
      <c r="B418" t="s">
        <v>24</v>
      </c>
      <c r="C418" s="5">
        <v>45676</v>
      </c>
      <c r="D418" t="s">
        <v>25</v>
      </c>
      <c r="E418" t="s">
        <v>31</v>
      </c>
      <c r="F418">
        <v>1651</v>
      </c>
      <c r="G418">
        <v>480</v>
      </c>
      <c r="H418">
        <v>282</v>
      </c>
      <c r="I418">
        <v>32140</v>
      </c>
      <c r="J418">
        <v>70560</v>
      </c>
      <c r="K418">
        <v>138</v>
      </c>
      <c r="L418" t="s">
        <v>44</v>
      </c>
      <c r="M418" t="s">
        <v>18</v>
      </c>
      <c r="N418" s="11">
        <f t="shared" si="12"/>
        <v>7.5077784691972627E-2</v>
      </c>
      <c r="O418">
        <f t="shared" si="13"/>
        <v>359</v>
      </c>
    </row>
    <row r="419" spans="1:15">
      <c r="A419" t="s">
        <v>298</v>
      </c>
      <c r="B419" t="s">
        <v>24</v>
      </c>
      <c r="C419" s="5">
        <v>45676</v>
      </c>
      <c r="D419" t="s">
        <v>25</v>
      </c>
      <c r="E419" t="s">
        <v>31</v>
      </c>
      <c r="F419">
        <v>1651</v>
      </c>
      <c r="G419">
        <v>480</v>
      </c>
      <c r="H419">
        <v>282</v>
      </c>
      <c r="I419">
        <v>32140</v>
      </c>
      <c r="J419">
        <v>70560</v>
      </c>
      <c r="K419">
        <v>138</v>
      </c>
      <c r="L419" t="s">
        <v>41</v>
      </c>
      <c r="M419" t="s">
        <v>18</v>
      </c>
      <c r="N419" s="11">
        <f t="shared" si="12"/>
        <v>7.5077784691972627E-2</v>
      </c>
      <c r="O419">
        <f t="shared" si="13"/>
        <v>359</v>
      </c>
    </row>
    <row r="420" spans="1:15">
      <c r="A420" t="s">
        <v>299</v>
      </c>
      <c r="B420" t="s">
        <v>24</v>
      </c>
      <c r="C420" s="5">
        <v>45662</v>
      </c>
      <c r="D420" t="s">
        <v>25</v>
      </c>
      <c r="E420" t="s">
        <v>20</v>
      </c>
      <c r="F420">
        <v>3341</v>
      </c>
      <c r="G420">
        <v>154</v>
      </c>
      <c r="H420">
        <v>123</v>
      </c>
      <c r="I420">
        <v>43369</v>
      </c>
      <c r="J420">
        <v>49035</v>
      </c>
      <c r="K420">
        <v>128</v>
      </c>
      <c r="L420" t="s">
        <v>365</v>
      </c>
      <c r="M420" t="s">
        <v>18</v>
      </c>
      <c r="N420" s="11">
        <f t="shared" si="12"/>
        <v>8.3423643616408028E-2</v>
      </c>
      <c r="O420">
        <f t="shared" si="13"/>
        <v>378</v>
      </c>
    </row>
    <row r="421" spans="1:15">
      <c r="A421" t="s">
        <v>299</v>
      </c>
      <c r="B421" t="s">
        <v>24</v>
      </c>
      <c r="C421" s="5">
        <v>45662</v>
      </c>
      <c r="D421" t="s">
        <v>25</v>
      </c>
      <c r="E421" t="s">
        <v>20</v>
      </c>
      <c r="F421">
        <v>3341</v>
      </c>
      <c r="G421">
        <v>154</v>
      </c>
      <c r="H421">
        <v>123</v>
      </c>
      <c r="I421">
        <v>43369</v>
      </c>
      <c r="J421">
        <v>49035</v>
      </c>
      <c r="K421">
        <v>128</v>
      </c>
      <c r="L421" t="s">
        <v>41</v>
      </c>
      <c r="M421" t="s">
        <v>18</v>
      </c>
      <c r="N421" s="11">
        <f t="shared" si="12"/>
        <v>8.3423643616408028E-2</v>
      </c>
      <c r="O421">
        <f t="shared" si="13"/>
        <v>378</v>
      </c>
    </row>
    <row r="422" spans="1:15">
      <c r="A422" t="s">
        <v>300</v>
      </c>
      <c r="B422" t="s">
        <v>24</v>
      </c>
      <c r="C422" s="5">
        <v>45612</v>
      </c>
      <c r="D422" t="s">
        <v>15</v>
      </c>
      <c r="E422" t="s">
        <v>48</v>
      </c>
      <c r="F422">
        <v>2972</v>
      </c>
      <c r="G422">
        <v>263</v>
      </c>
      <c r="H422">
        <v>308</v>
      </c>
      <c r="I422">
        <v>51740</v>
      </c>
      <c r="J422">
        <v>28214</v>
      </c>
      <c r="K422">
        <v>190</v>
      </c>
      <c r="L422" t="s">
        <v>44</v>
      </c>
      <c r="M422" t="s">
        <v>22</v>
      </c>
      <c r="N422" s="11">
        <f t="shared" si="12"/>
        <v>6.8477000386548123E-2</v>
      </c>
      <c r="O422">
        <f t="shared" si="13"/>
        <v>249</v>
      </c>
    </row>
    <row r="423" spans="1:15">
      <c r="A423" t="s">
        <v>301</v>
      </c>
      <c r="B423" t="s">
        <v>24</v>
      </c>
      <c r="C423" s="5">
        <v>45626</v>
      </c>
      <c r="D423" t="s">
        <v>25</v>
      </c>
      <c r="E423" t="s">
        <v>20</v>
      </c>
      <c r="F423">
        <v>4963</v>
      </c>
      <c r="G423">
        <v>255</v>
      </c>
      <c r="H423">
        <v>193</v>
      </c>
      <c r="I423">
        <v>44386</v>
      </c>
      <c r="J423">
        <v>28415</v>
      </c>
      <c r="K423">
        <v>174</v>
      </c>
      <c r="L423" t="s">
        <v>365</v>
      </c>
      <c r="M423" t="s">
        <v>18</v>
      </c>
      <c r="N423" s="11">
        <f t="shared" si="12"/>
        <v>0.12190780876853062</v>
      </c>
      <c r="O423">
        <f t="shared" si="13"/>
        <v>279</v>
      </c>
    </row>
    <row r="424" spans="1:15">
      <c r="A424" t="s">
        <v>301</v>
      </c>
      <c r="B424" t="s">
        <v>24</v>
      </c>
      <c r="C424" s="5">
        <v>45626</v>
      </c>
      <c r="D424" t="s">
        <v>25</v>
      </c>
      <c r="E424" t="s">
        <v>20</v>
      </c>
      <c r="F424">
        <v>4963</v>
      </c>
      <c r="G424">
        <v>255</v>
      </c>
      <c r="H424">
        <v>193</v>
      </c>
      <c r="I424">
        <v>44386</v>
      </c>
      <c r="J424">
        <v>28415</v>
      </c>
      <c r="K424">
        <v>174</v>
      </c>
      <c r="L424" t="s">
        <v>41</v>
      </c>
      <c r="M424" t="s">
        <v>18</v>
      </c>
      <c r="N424" s="11">
        <f t="shared" si="12"/>
        <v>0.12190780876853062</v>
      </c>
      <c r="O424">
        <f t="shared" si="13"/>
        <v>279</v>
      </c>
    </row>
    <row r="425" spans="1:15">
      <c r="A425" t="s">
        <v>302</v>
      </c>
      <c r="B425" t="s">
        <v>364</v>
      </c>
      <c r="C425" s="5">
        <v>45378</v>
      </c>
      <c r="D425" t="s">
        <v>15</v>
      </c>
      <c r="E425" t="s">
        <v>31</v>
      </c>
      <c r="F425">
        <v>2399</v>
      </c>
      <c r="G425">
        <v>191</v>
      </c>
      <c r="H425">
        <v>221</v>
      </c>
      <c r="I425">
        <v>51603</v>
      </c>
      <c r="J425">
        <v>40033</v>
      </c>
      <c r="K425">
        <v>173</v>
      </c>
      <c r="L425" t="s">
        <v>21</v>
      </c>
      <c r="M425" t="s">
        <v>22</v>
      </c>
      <c r="N425" s="11">
        <f t="shared" si="12"/>
        <v>5.4473577117609438E-2</v>
      </c>
      <c r="O425">
        <f t="shared" si="13"/>
        <v>283</v>
      </c>
    </row>
    <row r="426" spans="1:15">
      <c r="A426" t="s">
        <v>302</v>
      </c>
      <c r="B426" t="s">
        <v>364</v>
      </c>
      <c r="C426" s="5">
        <v>45378</v>
      </c>
      <c r="D426" t="s">
        <v>15</v>
      </c>
      <c r="E426" t="s">
        <v>31</v>
      </c>
      <c r="F426">
        <v>2399</v>
      </c>
      <c r="G426">
        <v>191</v>
      </c>
      <c r="H426">
        <v>221</v>
      </c>
      <c r="I426">
        <v>51603</v>
      </c>
      <c r="J426">
        <v>40033</v>
      </c>
      <c r="K426">
        <v>173</v>
      </c>
      <c r="L426" t="s">
        <v>366</v>
      </c>
      <c r="M426" t="s">
        <v>22</v>
      </c>
      <c r="N426" s="11">
        <f t="shared" si="12"/>
        <v>5.4473577117609438E-2</v>
      </c>
      <c r="O426">
        <f t="shared" si="13"/>
        <v>283</v>
      </c>
    </row>
    <row r="427" spans="1:15">
      <c r="A427" t="s">
        <v>303</v>
      </c>
      <c r="B427" t="s">
        <v>364</v>
      </c>
      <c r="C427" s="5">
        <v>45808</v>
      </c>
      <c r="D427" t="s">
        <v>56</v>
      </c>
      <c r="E427" t="s">
        <v>36</v>
      </c>
      <c r="F427">
        <v>2162</v>
      </c>
      <c r="G427">
        <v>318</v>
      </c>
      <c r="H427">
        <v>83</v>
      </c>
      <c r="I427">
        <v>46719</v>
      </c>
      <c r="J427">
        <v>20482</v>
      </c>
      <c r="K427">
        <v>185</v>
      </c>
      <c r="L427" t="s">
        <v>21</v>
      </c>
      <c r="M427" t="s">
        <v>58</v>
      </c>
      <c r="N427" s="11">
        <f t="shared" si="12"/>
        <v>5.4859907104176028E-2</v>
      </c>
      <c r="O427">
        <f t="shared" si="13"/>
        <v>253</v>
      </c>
    </row>
    <row r="428" spans="1:15">
      <c r="A428" t="s">
        <v>303</v>
      </c>
      <c r="B428" t="s">
        <v>364</v>
      </c>
      <c r="C428" s="5">
        <v>45808</v>
      </c>
      <c r="D428" t="s">
        <v>56</v>
      </c>
      <c r="E428" t="s">
        <v>36</v>
      </c>
      <c r="F428">
        <v>2162</v>
      </c>
      <c r="G428">
        <v>318</v>
      </c>
      <c r="H428">
        <v>83</v>
      </c>
      <c r="I428">
        <v>46719</v>
      </c>
      <c r="J428">
        <v>20482</v>
      </c>
      <c r="K428">
        <v>185</v>
      </c>
      <c r="L428" t="s">
        <v>44</v>
      </c>
      <c r="M428" t="s">
        <v>58</v>
      </c>
      <c r="N428" s="11">
        <f t="shared" si="12"/>
        <v>5.4859907104176028E-2</v>
      </c>
      <c r="O428">
        <f t="shared" si="13"/>
        <v>253</v>
      </c>
    </row>
    <row r="429" spans="1:15">
      <c r="A429" t="s">
        <v>304</v>
      </c>
      <c r="B429" t="s">
        <v>24</v>
      </c>
      <c r="C429" s="5">
        <v>45825</v>
      </c>
      <c r="D429" t="s">
        <v>25</v>
      </c>
      <c r="E429" t="s">
        <v>20</v>
      </c>
      <c r="F429">
        <v>4341</v>
      </c>
      <c r="G429">
        <v>141</v>
      </c>
      <c r="H429">
        <v>63</v>
      </c>
      <c r="I429">
        <v>50081</v>
      </c>
      <c r="J429">
        <v>27507</v>
      </c>
      <c r="K429">
        <v>221</v>
      </c>
      <c r="L429" t="s">
        <v>21</v>
      </c>
      <c r="M429" t="s">
        <v>18</v>
      </c>
      <c r="N429" s="11">
        <f t="shared" si="12"/>
        <v>9.0752980172121162E-2</v>
      </c>
      <c r="O429">
        <f t="shared" si="13"/>
        <v>175</v>
      </c>
    </row>
    <row r="430" spans="1:15">
      <c r="A430" t="s">
        <v>304</v>
      </c>
      <c r="B430" t="s">
        <v>24</v>
      </c>
      <c r="C430" s="5">
        <v>45825</v>
      </c>
      <c r="D430" t="s">
        <v>25</v>
      </c>
      <c r="E430" t="s">
        <v>20</v>
      </c>
      <c r="F430">
        <v>4341</v>
      </c>
      <c r="G430">
        <v>141</v>
      </c>
      <c r="H430">
        <v>63</v>
      </c>
      <c r="I430">
        <v>50081</v>
      </c>
      <c r="J430">
        <v>27507</v>
      </c>
      <c r="K430">
        <v>221</v>
      </c>
      <c r="L430" t="s">
        <v>365</v>
      </c>
      <c r="M430" t="s">
        <v>18</v>
      </c>
      <c r="N430" s="11">
        <f t="shared" si="12"/>
        <v>9.0752980172121162E-2</v>
      </c>
      <c r="O430">
        <f t="shared" si="13"/>
        <v>175</v>
      </c>
    </row>
    <row r="431" spans="1:15">
      <c r="A431" t="s">
        <v>305</v>
      </c>
      <c r="B431" t="s">
        <v>14</v>
      </c>
      <c r="C431" s="5">
        <v>45442</v>
      </c>
      <c r="D431" t="s">
        <v>25</v>
      </c>
      <c r="E431" t="s">
        <v>36</v>
      </c>
      <c r="F431">
        <v>2448</v>
      </c>
      <c r="G431">
        <v>464</v>
      </c>
      <c r="H431">
        <v>98</v>
      </c>
      <c r="I431">
        <v>25737</v>
      </c>
      <c r="J431">
        <v>48545</v>
      </c>
      <c r="K431">
        <v>246</v>
      </c>
      <c r="L431" t="s">
        <v>41</v>
      </c>
      <c r="M431" t="s">
        <v>54</v>
      </c>
      <c r="N431" s="11">
        <f t="shared" si="12"/>
        <v>0.11695224773672146</v>
      </c>
      <c r="O431">
        <f t="shared" si="13"/>
        <v>121</v>
      </c>
    </row>
    <row r="432" spans="1:15">
      <c r="A432" t="s">
        <v>306</v>
      </c>
      <c r="B432" t="s">
        <v>364</v>
      </c>
      <c r="C432" s="5">
        <v>45604</v>
      </c>
      <c r="D432" t="s">
        <v>15</v>
      </c>
      <c r="E432" t="s">
        <v>40</v>
      </c>
      <c r="F432">
        <v>2471</v>
      </c>
      <c r="G432">
        <v>166</v>
      </c>
      <c r="H432">
        <v>320</v>
      </c>
      <c r="I432">
        <v>48254</v>
      </c>
      <c r="J432">
        <v>46900</v>
      </c>
      <c r="K432">
        <v>111</v>
      </c>
      <c r="L432" t="s">
        <v>21</v>
      </c>
      <c r="M432" t="s">
        <v>22</v>
      </c>
      <c r="N432" s="11">
        <f t="shared" si="12"/>
        <v>6.1279893894806647E-2</v>
      </c>
      <c r="O432">
        <f t="shared" si="13"/>
        <v>416</v>
      </c>
    </row>
    <row r="433" spans="1:15">
      <c r="A433" t="s">
        <v>306</v>
      </c>
      <c r="B433" t="s">
        <v>364</v>
      </c>
      <c r="C433" s="5">
        <v>45604</v>
      </c>
      <c r="D433" t="s">
        <v>15</v>
      </c>
      <c r="E433" t="s">
        <v>40</v>
      </c>
      <c r="F433">
        <v>2471</v>
      </c>
      <c r="G433">
        <v>166</v>
      </c>
      <c r="H433">
        <v>320</v>
      </c>
      <c r="I433">
        <v>48254</v>
      </c>
      <c r="J433">
        <v>46900</v>
      </c>
      <c r="K433">
        <v>111</v>
      </c>
      <c r="L433" t="s">
        <v>366</v>
      </c>
      <c r="M433" t="s">
        <v>22</v>
      </c>
      <c r="N433" s="11">
        <f t="shared" si="12"/>
        <v>6.1279893894806647E-2</v>
      </c>
      <c r="O433">
        <f t="shared" si="13"/>
        <v>416</v>
      </c>
    </row>
    <row r="434" spans="1:15">
      <c r="A434" t="s">
        <v>307</v>
      </c>
      <c r="B434" t="s">
        <v>364</v>
      </c>
      <c r="C434" s="5">
        <v>45368</v>
      </c>
      <c r="D434" t="s">
        <v>56</v>
      </c>
      <c r="E434" t="s">
        <v>20</v>
      </c>
      <c r="F434">
        <v>2692</v>
      </c>
      <c r="G434">
        <v>446</v>
      </c>
      <c r="H434">
        <v>216</v>
      </c>
      <c r="I434">
        <v>45818</v>
      </c>
      <c r="J434">
        <v>62723</v>
      </c>
      <c r="K434">
        <v>85</v>
      </c>
      <c r="L434" t="s">
        <v>21</v>
      </c>
      <c r="M434" t="s">
        <v>58</v>
      </c>
      <c r="N434" s="11">
        <f t="shared" si="12"/>
        <v>7.3202671439172376E-2</v>
      </c>
      <c r="O434">
        <f t="shared" si="13"/>
        <v>469</v>
      </c>
    </row>
    <row r="435" spans="1:15">
      <c r="A435" t="s">
        <v>307</v>
      </c>
      <c r="B435" t="s">
        <v>364</v>
      </c>
      <c r="C435" s="5">
        <v>45368</v>
      </c>
      <c r="D435" t="s">
        <v>56</v>
      </c>
      <c r="E435" t="s">
        <v>20</v>
      </c>
      <c r="F435">
        <v>2692</v>
      </c>
      <c r="G435">
        <v>446</v>
      </c>
      <c r="H435">
        <v>216</v>
      </c>
      <c r="I435">
        <v>45818</v>
      </c>
      <c r="J435">
        <v>62723</v>
      </c>
      <c r="K435">
        <v>85</v>
      </c>
      <c r="L435" t="s">
        <v>44</v>
      </c>
      <c r="M435" t="s">
        <v>58</v>
      </c>
      <c r="N435" s="11">
        <f t="shared" si="12"/>
        <v>7.3202671439172376E-2</v>
      </c>
      <c r="O435">
        <f t="shared" si="13"/>
        <v>469</v>
      </c>
    </row>
    <row r="436" spans="1:15">
      <c r="A436" t="s">
        <v>308</v>
      </c>
      <c r="B436" t="s">
        <v>364</v>
      </c>
      <c r="C436" s="5">
        <v>45464</v>
      </c>
      <c r="D436" t="s">
        <v>56</v>
      </c>
      <c r="E436" t="s">
        <v>31</v>
      </c>
      <c r="F436">
        <v>4621</v>
      </c>
      <c r="G436">
        <v>374</v>
      </c>
      <c r="H436">
        <v>298</v>
      </c>
      <c r="I436">
        <v>56979</v>
      </c>
      <c r="J436">
        <v>24098</v>
      </c>
      <c r="K436">
        <v>205</v>
      </c>
      <c r="L436" t="s">
        <v>21</v>
      </c>
      <c r="M436" t="s">
        <v>58</v>
      </c>
      <c r="N436" s="11">
        <f t="shared" si="12"/>
        <v>9.2893873181347508E-2</v>
      </c>
      <c r="O436">
        <f t="shared" si="13"/>
        <v>214</v>
      </c>
    </row>
    <row r="437" spans="1:15">
      <c r="A437" t="s">
        <v>308</v>
      </c>
      <c r="B437" t="s">
        <v>364</v>
      </c>
      <c r="C437" s="5">
        <v>45464</v>
      </c>
      <c r="D437" t="s">
        <v>56</v>
      </c>
      <c r="E437" t="s">
        <v>31</v>
      </c>
      <c r="F437">
        <v>4621</v>
      </c>
      <c r="G437">
        <v>374</v>
      </c>
      <c r="H437">
        <v>298</v>
      </c>
      <c r="I437">
        <v>56979</v>
      </c>
      <c r="J437">
        <v>24098</v>
      </c>
      <c r="K437">
        <v>205</v>
      </c>
      <c r="L437" t="s">
        <v>44</v>
      </c>
      <c r="M437" t="s">
        <v>58</v>
      </c>
      <c r="N437" s="11">
        <f t="shared" si="12"/>
        <v>9.2893873181347508E-2</v>
      </c>
      <c r="O437">
        <f t="shared" si="13"/>
        <v>214</v>
      </c>
    </row>
    <row r="438" spans="1:15">
      <c r="A438" t="s">
        <v>309</v>
      </c>
      <c r="B438" t="s">
        <v>24</v>
      </c>
      <c r="C438" s="5">
        <v>45609</v>
      </c>
      <c r="D438" t="s">
        <v>25</v>
      </c>
      <c r="E438" t="s">
        <v>26</v>
      </c>
      <c r="F438">
        <v>1409</v>
      </c>
      <c r="G438">
        <v>466</v>
      </c>
      <c r="H438">
        <v>105</v>
      </c>
      <c r="I438">
        <v>58923</v>
      </c>
      <c r="J438">
        <v>38753</v>
      </c>
      <c r="K438">
        <v>265</v>
      </c>
      <c r="L438" t="s">
        <v>21</v>
      </c>
      <c r="M438" t="s">
        <v>18</v>
      </c>
      <c r="N438" s="11">
        <f t="shared" si="12"/>
        <v>3.3603177027646251E-2</v>
      </c>
      <c r="O438">
        <f t="shared" si="13"/>
        <v>88</v>
      </c>
    </row>
    <row r="439" spans="1:15">
      <c r="A439" t="s">
        <v>309</v>
      </c>
      <c r="B439" t="s">
        <v>24</v>
      </c>
      <c r="C439" s="5">
        <v>45609</v>
      </c>
      <c r="D439" t="s">
        <v>25</v>
      </c>
      <c r="E439" t="s">
        <v>26</v>
      </c>
      <c r="F439">
        <v>1409</v>
      </c>
      <c r="G439">
        <v>466</v>
      </c>
      <c r="H439">
        <v>105</v>
      </c>
      <c r="I439">
        <v>58923</v>
      </c>
      <c r="J439">
        <v>38753</v>
      </c>
      <c r="K439">
        <v>265</v>
      </c>
      <c r="L439" t="s">
        <v>365</v>
      </c>
      <c r="M439" t="s">
        <v>18</v>
      </c>
      <c r="N439" s="11">
        <f t="shared" si="12"/>
        <v>3.3603177027646251E-2</v>
      </c>
      <c r="O439">
        <f t="shared" si="13"/>
        <v>88</v>
      </c>
    </row>
    <row r="440" spans="1:15">
      <c r="A440" t="s">
        <v>310</v>
      </c>
      <c r="B440" t="s">
        <v>24</v>
      </c>
      <c r="C440" s="5">
        <v>45693</v>
      </c>
      <c r="D440" t="s">
        <v>25</v>
      </c>
      <c r="E440" t="s">
        <v>16</v>
      </c>
      <c r="F440">
        <v>3029</v>
      </c>
      <c r="G440">
        <v>440</v>
      </c>
      <c r="H440">
        <v>66</v>
      </c>
      <c r="I440">
        <v>23815</v>
      </c>
      <c r="J440">
        <v>47895</v>
      </c>
      <c r="K440">
        <v>210</v>
      </c>
      <c r="L440" t="s">
        <v>21</v>
      </c>
      <c r="M440" t="s">
        <v>18</v>
      </c>
      <c r="N440" s="11">
        <f t="shared" si="12"/>
        <v>0.14843585975225698</v>
      </c>
      <c r="O440">
        <f t="shared" si="13"/>
        <v>206</v>
      </c>
    </row>
    <row r="441" spans="1:15">
      <c r="A441" t="s">
        <v>310</v>
      </c>
      <c r="B441" t="s">
        <v>24</v>
      </c>
      <c r="C441" s="5">
        <v>45693</v>
      </c>
      <c r="D441" t="s">
        <v>25</v>
      </c>
      <c r="E441" t="s">
        <v>16</v>
      </c>
      <c r="F441">
        <v>3029</v>
      </c>
      <c r="G441">
        <v>440</v>
      </c>
      <c r="H441">
        <v>66</v>
      </c>
      <c r="I441">
        <v>23815</v>
      </c>
      <c r="J441">
        <v>47895</v>
      </c>
      <c r="K441">
        <v>210</v>
      </c>
      <c r="L441" t="s">
        <v>365</v>
      </c>
      <c r="M441" t="s">
        <v>18</v>
      </c>
      <c r="N441" s="11">
        <f t="shared" si="12"/>
        <v>0.14843585975225698</v>
      </c>
      <c r="O441">
        <f t="shared" si="13"/>
        <v>206</v>
      </c>
    </row>
    <row r="442" spans="1:15">
      <c r="A442" t="s">
        <v>311</v>
      </c>
      <c r="B442" t="s">
        <v>24</v>
      </c>
      <c r="C442" s="5">
        <v>45603</v>
      </c>
      <c r="D442" t="s">
        <v>15</v>
      </c>
      <c r="E442" t="s">
        <v>20</v>
      </c>
      <c r="F442">
        <v>2229</v>
      </c>
      <c r="G442">
        <v>395</v>
      </c>
      <c r="H442">
        <v>328</v>
      </c>
      <c r="I442">
        <v>56921</v>
      </c>
      <c r="J442">
        <v>37176</v>
      </c>
      <c r="K442">
        <v>126</v>
      </c>
      <c r="L442" t="s">
        <v>44</v>
      </c>
      <c r="M442" t="s">
        <v>22</v>
      </c>
      <c r="N442" s="11">
        <f t="shared" si="12"/>
        <v>5.1861351697967357E-2</v>
      </c>
      <c r="O442">
        <f t="shared" si="13"/>
        <v>384</v>
      </c>
    </row>
    <row r="443" spans="1:15">
      <c r="A443" t="s">
        <v>312</v>
      </c>
      <c r="B443" t="s">
        <v>24</v>
      </c>
      <c r="C443" s="5">
        <v>45334</v>
      </c>
      <c r="D443" t="s">
        <v>15</v>
      </c>
      <c r="E443" t="s">
        <v>20</v>
      </c>
      <c r="F443">
        <v>2691</v>
      </c>
      <c r="G443">
        <v>486</v>
      </c>
      <c r="H443">
        <v>206</v>
      </c>
      <c r="I443">
        <v>51133</v>
      </c>
      <c r="J443">
        <v>44583</v>
      </c>
      <c r="K443">
        <v>276</v>
      </c>
      <c r="L443" t="s">
        <v>41</v>
      </c>
      <c r="M443" t="s">
        <v>18</v>
      </c>
      <c r="N443" s="11">
        <f t="shared" si="12"/>
        <v>6.6160796354604659E-2</v>
      </c>
      <c r="O443">
        <f t="shared" si="13"/>
        <v>54</v>
      </c>
    </row>
    <row r="444" spans="1:15">
      <c r="A444" t="s">
        <v>313</v>
      </c>
      <c r="B444" t="s">
        <v>14</v>
      </c>
      <c r="C444" s="5">
        <v>45573</v>
      </c>
      <c r="D444" t="s">
        <v>15</v>
      </c>
      <c r="E444" t="s">
        <v>20</v>
      </c>
      <c r="F444">
        <v>2110</v>
      </c>
      <c r="G444">
        <v>384</v>
      </c>
      <c r="H444">
        <v>236</v>
      </c>
      <c r="I444">
        <v>49965</v>
      </c>
      <c r="J444">
        <v>61555</v>
      </c>
      <c r="K444">
        <v>195</v>
      </c>
      <c r="L444" t="s">
        <v>21</v>
      </c>
      <c r="M444" t="s">
        <v>22</v>
      </c>
      <c r="N444" s="11">
        <f t="shared" si="12"/>
        <v>5.4638246772740921E-2</v>
      </c>
      <c r="O444">
        <f t="shared" si="13"/>
        <v>239</v>
      </c>
    </row>
    <row r="445" spans="1:15">
      <c r="A445" t="s">
        <v>314</v>
      </c>
      <c r="B445" t="s">
        <v>14</v>
      </c>
      <c r="C445" s="5">
        <v>45341</v>
      </c>
      <c r="D445" t="s">
        <v>15</v>
      </c>
      <c r="E445" t="s">
        <v>29</v>
      </c>
      <c r="F445">
        <v>4752</v>
      </c>
      <c r="G445">
        <v>449</v>
      </c>
      <c r="H445">
        <v>309</v>
      </c>
      <c r="I445">
        <v>58530</v>
      </c>
      <c r="J445">
        <v>26630</v>
      </c>
      <c r="K445">
        <v>234</v>
      </c>
      <c r="L445" t="s">
        <v>21</v>
      </c>
      <c r="M445" t="s">
        <v>22</v>
      </c>
      <c r="N445" s="11">
        <f t="shared" si="12"/>
        <v>9.4139757389372969E-2</v>
      </c>
      <c r="O445">
        <f t="shared" si="13"/>
        <v>147</v>
      </c>
    </row>
    <row r="446" spans="1:15">
      <c r="A446" t="s">
        <v>315</v>
      </c>
      <c r="B446" t="s">
        <v>24</v>
      </c>
      <c r="C446" s="5">
        <v>45720</v>
      </c>
      <c r="D446" t="s">
        <v>15</v>
      </c>
      <c r="E446" t="s">
        <v>16</v>
      </c>
      <c r="F446">
        <v>2177</v>
      </c>
      <c r="G446">
        <v>258</v>
      </c>
      <c r="H446">
        <v>292</v>
      </c>
      <c r="I446">
        <v>47276</v>
      </c>
      <c r="J446">
        <v>51324</v>
      </c>
      <c r="K446">
        <v>143</v>
      </c>
      <c r="L446" t="s">
        <v>41</v>
      </c>
      <c r="M446" t="s">
        <v>18</v>
      </c>
      <c r="N446" s="11">
        <f t="shared" si="12"/>
        <v>5.7682545054573146E-2</v>
      </c>
      <c r="O446">
        <f t="shared" si="13"/>
        <v>355</v>
      </c>
    </row>
    <row r="447" spans="1:15">
      <c r="A447" t="s">
        <v>316</v>
      </c>
      <c r="B447" t="s">
        <v>14</v>
      </c>
      <c r="C447" s="5">
        <v>45691</v>
      </c>
      <c r="D447" t="s">
        <v>25</v>
      </c>
      <c r="E447" t="s">
        <v>26</v>
      </c>
      <c r="F447">
        <v>1205</v>
      </c>
      <c r="G447">
        <v>486</v>
      </c>
      <c r="H447">
        <v>269</v>
      </c>
      <c r="I447">
        <v>23341</v>
      </c>
      <c r="J447">
        <v>42411</v>
      </c>
      <c r="K447">
        <v>184</v>
      </c>
      <c r="L447" t="s">
        <v>41</v>
      </c>
      <c r="M447" t="s">
        <v>54</v>
      </c>
      <c r="N447" s="11">
        <f t="shared" si="12"/>
        <v>8.3972409065592737E-2</v>
      </c>
      <c r="O447">
        <f t="shared" si="13"/>
        <v>255</v>
      </c>
    </row>
    <row r="448" spans="1:15">
      <c r="A448" t="s">
        <v>317</v>
      </c>
      <c r="B448" t="s">
        <v>14</v>
      </c>
      <c r="C448" s="5">
        <v>45628</v>
      </c>
      <c r="D448" t="s">
        <v>15</v>
      </c>
      <c r="E448" t="s">
        <v>40</v>
      </c>
      <c r="F448">
        <v>3194</v>
      </c>
      <c r="G448">
        <v>292</v>
      </c>
      <c r="H448">
        <v>245</v>
      </c>
      <c r="I448">
        <v>56371</v>
      </c>
      <c r="J448">
        <v>65597</v>
      </c>
      <c r="K448">
        <v>163</v>
      </c>
      <c r="L448" t="s">
        <v>44</v>
      </c>
      <c r="M448" t="s">
        <v>18</v>
      </c>
      <c r="N448" s="11">
        <f t="shared" si="12"/>
        <v>6.6186514342481059E-2</v>
      </c>
      <c r="O448">
        <f t="shared" si="13"/>
        <v>307</v>
      </c>
    </row>
    <row r="449" spans="1:15">
      <c r="A449" t="s">
        <v>317</v>
      </c>
      <c r="B449" t="s">
        <v>14</v>
      </c>
      <c r="C449" s="5">
        <v>45628</v>
      </c>
      <c r="D449" t="s">
        <v>15</v>
      </c>
      <c r="E449" t="s">
        <v>40</v>
      </c>
      <c r="F449">
        <v>3194</v>
      </c>
      <c r="G449">
        <v>292</v>
      </c>
      <c r="H449">
        <v>245</v>
      </c>
      <c r="I449">
        <v>56371</v>
      </c>
      <c r="J449">
        <v>65597</v>
      </c>
      <c r="K449">
        <v>163</v>
      </c>
      <c r="L449" t="s">
        <v>41</v>
      </c>
      <c r="M449" t="s">
        <v>18</v>
      </c>
      <c r="N449" s="11">
        <f t="shared" si="12"/>
        <v>6.6186514342481059E-2</v>
      </c>
      <c r="O449">
        <f t="shared" si="13"/>
        <v>307</v>
      </c>
    </row>
    <row r="450" spans="1:15">
      <c r="A450" t="s">
        <v>318</v>
      </c>
      <c r="B450" t="s">
        <v>24</v>
      </c>
      <c r="C450" s="5">
        <v>45676</v>
      </c>
      <c r="D450" t="s">
        <v>25</v>
      </c>
      <c r="E450" t="s">
        <v>26</v>
      </c>
      <c r="F450">
        <v>3507</v>
      </c>
      <c r="G450">
        <v>295</v>
      </c>
      <c r="H450">
        <v>371</v>
      </c>
      <c r="I450">
        <v>20410</v>
      </c>
      <c r="J450">
        <v>53965</v>
      </c>
      <c r="K450">
        <v>212</v>
      </c>
      <c r="L450" t="s">
        <v>44</v>
      </c>
      <c r="M450" t="s">
        <v>18</v>
      </c>
      <c r="N450" s="11">
        <f t="shared" ref="N450:N484" si="14">(F450+G450+H450)/I450</f>
        <v>0.20445859872611466</v>
      </c>
      <c r="O450">
        <f t="shared" ref="O450:O484" si="15">_xlfn.RANK.EQ(K450,K:K,0)</f>
        <v>200</v>
      </c>
    </row>
    <row r="451" spans="1:15">
      <c r="A451" t="s">
        <v>318</v>
      </c>
      <c r="B451" t="s">
        <v>24</v>
      </c>
      <c r="C451" s="5">
        <v>45676</v>
      </c>
      <c r="D451" t="s">
        <v>25</v>
      </c>
      <c r="E451" t="s">
        <v>26</v>
      </c>
      <c r="F451">
        <v>3507</v>
      </c>
      <c r="G451">
        <v>295</v>
      </c>
      <c r="H451">
        <v>371</v>
      </c>
      <c r="I451">
        <v>20410</v>
      </c>
      <c r="J451">
        <v>53965</v>
      </c>
      <c r="K451">
        <v>212</v>
      </c>
      <c r="L451" t="s">
        <v>41</v>
      </c>
      <c r="M451" t="s">
        <v>18</v>
      </c>
      <c r="N451" s="11">
        <f t="shared" si="14"/>
        <v>0.20445859872611466</v>
      </c>
      <c r="O451">
        <f t="shared" si="15"/>
        <v>200</v>
      </c>
    </row>
    <row r="452" spans="1:15">
      <c r="A452" t="s">
        <v>319</v>
      </c>
      <c r="B452" t="s">
        <v>24</v>
      </c>
      <c r="C452" s="5">
        <v>45563</v>
      </c>
      <c r="D452" t="s">
        <v>25</v>
      </c>
      <c r="E452" t="s">
        <v>29</v>
      </c>
      <c r="F452">
        <v>4471</v>
      </c>
      <c r="G452">
        <v>317</v>
      </c>
      <c r="H452">
        <v>249</v>
      </c>
      <c r="I452">
        <v>44862</v>
      </c>
      <c r="J452">
        <v>33365</v>
      </c>
      <c r="K452">
        <v>184</v>
      </c>
      <c r="L452" t="s">
        <v>21</v>
      </c>
      <c r="M452" t="s">
        <v>18</v>
      </c>
      <c r="N452" s="11">
        <f t="shared" si="14"/>
        <v>0.1122776514644911</v>
      </c>
      <c r="O452">
        <f t="shared" si="15"/>
        <v>255</v>
      </c>
    </row>
    <row r="453" spans="1:15">
      <c r="A453" t="s">
        <v>319</v>
      </c>
      <c r="B453" t="s">
        <v>24</v>
      </c>
      <c r="C453" s="5">
        <v>45563</v>
      </c>
      <c r="D453" t="s">
        <v>25</v>
      </c>
      <c r="E453" t="s">
        <v>29</v>
      </c>
      <c r="F453">
        <v>4471</v>
      </c>
      <c r="G453">
        <v>317</v>
      </c>
      <c r="H453">
        <v>249</v>
      </c>
      <c r="I453">
        <v>44862</v>
      </c>
      <c r="J453">
        <v>33365</v>
      </c>
      <c r="K453">
        <v>184</v>
      </c>
      <c r="L453" t="s">
        <v>365</v>
      </c>
      <c r="M453" t="s">
        <v>18</v>
      </c>
      <c r="N453" s="11">
        <f t="shared" si="14"/>
        <v>0.1122776514644911</v>
      </c>
      <c r="O453">
        <f t="shared" si="15"/>
        <v>255</v>
      </c>
    </row>
    <row r="454" spans="1:15">
      <c r="A454" t="s">
        <v>320</v>
      </c>
      <c r="B454" t="s">
        <v>14</v>
      </c>
      <c r="C454" s="5">
        <v>45298</v>
      </c>
      <c r="D454" t="s">
        <v>15</v>
      </c>
      <c r="E454" t="s">
        <v>40</v>
      </c>
      <c r="F454">
        <v>4931</v>
      </c>
      <c r="G454">
        <v>469</v>
      </c>
      <c r="H454">
        <v>193</v>
      </c>
      <c r="I454">
        <v>56701</v>
      </c>
      <c r="J454">
        <v>69437</v>
      </c>
      <c r="K454">
        <v>291</v>
      </c>
      <c r="L454" t="s">
        <v>44</v>
      </c>
      <c r="M454" t="s">
        <v>18</v>
      </c>
      <c r="N454" s="11">
        <f t="shared" si="14"/>
        <v>9.8640235621946709E-2</v>
      </c>
      <c r="O454">
        <f t="shared" si="15"/>
        <v>19</v>
      </c>
    </row>
    <row r="455" spans="1:15">
      <c r="A455" t="s">
        <v>320</v>
      </c>
      <c r="B455" t="s">
        <v>14</v>
      </c>
      <c r="C455" s="5">
        <v>45298</v>
      </c>
      <c r="D455" t="s">
        <v>15</v>
      </c>
      <c r="E455" t="s">
        <v>40</v>
      </c>
      <c r="F455">
        <v>4931</v>
      </c>
      <c r="G455">
        <v>469</v>
      </c>
      <c r="H455">
        <v>193</v>
      </c>
      <c r="I455">
        <v>56701</v>
      </c>
      <c r="J455">
        <v>69437</v>
      </c>
      <c r="K455">
        <v>291</v>
      </c>
      <c r="L455" t="s">
        <v>41</v>
      </c>
      <c r="M455" t="s">
        <v>18</v>
      </c>
      <c r="N455" s="11">
        <f t="shared" si="14"/>
        <v>9.8640235621946709E-2</v>
      </c>
      <c r="O455">
        <f t="shared" si="15"/>
        <v>19</v>
      </c>
    </row>
    <row r="456" spans="1:15">
      <c r="A456" t="s">
        <v>321</v>
      </c>
      <c r="B456" t="s">
        <v>24</v>
      </c>
      <c r="C456" s="5">
        <v>45343</v>
      </c>
      <c r="D456" t="s">
        <v>25</v>
      </c>
      <c r="E456" t="s">
        <v>36</v>
      </c>
      <c r="F456">
        <v>2604</v>
      </c>
      <c r="G456">
        <v>439</v>
      </c>
      <c r="H456">
        <v>148</v>
      </c>
      <c r="I456">
        <v>58468</v>
      </c>
      <c r="J456">
        <v>39629</v>
      </c>
      <c r="K456">
        <v>163</v>
      </c>
      <c r="L456" t="s">
        <v>365</v>
      </c>
      <c r="M456" t="s">
        <v>18</v>
      </c>
      <c r="N456" s="11">
        <f t="shared" si="14"/>
        <v>5.4576862557296296E-2</v>
      </c>
      <c r="O456">
        <f t="shared" si="15"/>
        <v>307</v>
      </c>
    </row>
    <row r="457" spans="1:15">
      <c r="A457" t="s">
        <v>321</v>
      </c>
      <c r="B457" t="s">
        <v>24</v>
      </c>
      <c r="C457" s="5">
        <v>45343</v>
      </c>
      <c r="D457" t="s">
        <v>25</v>
      </c>
      <c r="E457" t="s">
        <v>36</v>
      </c>
      <c r="F457">
        <v>2604</v>
      </c>
      <c r="G457">
        <v>439</v>
      </c>
      <c r="H457">
        <v>148</v>
      </c>
      <c r="I457">
        <v>58468</v>
      </c>
      <c r="J457">
        <v>39629</v>
      </c>
      <c r="K457">
        <v>163</v>
      </c>
      <c r="L457" t="s">
        <v>41</v>
      </c>
      <c r="M457" t="s">
        <v>18</v>
      </c>
      <c r="N457" s="11">
        <f t="shared" si="14"/>
        <v>5.4576862557296296E-2</v>
      </c>
      <c r="O457">
        <f t="shared" si="15"/>
        <v>307</v>
      </c>
    </row>
    <row r="458" spans="1:15">
      <c r="A458" t="s">
        <v>322</v>
      </c>
      <c r="B458" t="s">
        <v>14</v>
      </c>
      <c r="C458" s="5">
        <v>45531</v>
      </c>
      <c r="D458" t="s">
        <v>15</v>
      </c>
      <c r="E458" t="s">
        <v>31</v>
      </c>
      <c r="F458">
        <v>4197</v>
      </c>
      <c r="G458">
        <v>359</v>
      </c>
      <c r="H458">
        <v>280</v>
      </c>
      <c r="I458">
        <v>56048</v>
      </c>
      <c r="J458">
        <v>70930</v>
      </c>
      <c r="K458">
        <v>295</v>
      </c>
      <c r="L458" t="s">
        <v>21</v>
      </c>
      <c r="M458" t="s">
        <v>22</v>
      </c>
      <c r="N458" s="11">
        <f t="shared" si="14"/>
        <v>8.628318584070796E-2</v>
      </c>
      <c r="O458">
        <f t="shared" si="15"/>
        <v>13</v>
      </c>
    </row>
    <row r="459" spans="1:15">
      <c r="A459" t="s">
        <v>323</v>
      </c>
      <c r="B459" t="s">
        <v>14</v>
      </c>
      <c r="C459" s="5">
        <v>45589</v>
      </c>
      <c r="D459" t="s">
        <v>25</v>
      </c>
      <c r="E459" t="s">
        <v>40</v>
      </c>
      <c r="F459">
        <v>1914</v>
      </c>
      <c r="G459">
        <v>255</v>
      </c>
      <c r="H459">
        <v>156</v>
      </c>
      <c r="I459">
        <v>27660</v>
      </c>
      <c r="J459">
        <v>47776</v>
      </c>
      <c r="K459">
        <v>111</v>
      </c>
      <c r="L459" t="s">
        <v>41</v>
      </c>
      <c r="M459" t="s">
        <v>54</v>
      </c>
      <c r="N459" s="11">
        <f t="shared" si="14"/>
        <v>8.4056399132321047E-2</v>
      </c>
      <c r="O459">
        <f t="shared" si="15"/>
        <v>416</v>
      </c>
    </row>
    <row r="460" spans="1:15">
      <c r="A460" t="s">
        <v>324</v>
      </c>
      <c r="B460" t="s">
        <v>364</v>
      </c>
      <c r="C460" s="5">
        <v>45686</v>
      </c>
      <c r="D460" t="s">
        <v>15</v>
      </c>
      <c r="E460" t="s">
        <v>26</v>
      </c>
      <c r="F460">
        <v>1334</v>
      </c>
      <c r="G460">
        <v>357</v>
      </c>
      <c r="H460">
        <v>257</v>
      </c>
      <c r="I460">
        <v>56910</v>
      </c>
      <c r="J460">
        <v>70606</v>
      </c>
      <c r="K460">
        <v>228</v>
      </c>
      <c r="L460" t="s">
        <v>21</v>
      </c>
      <c r="M460" t="s">
        <v>22</v>
      </c>
      <c r="N460" s="11">
        <f t="shared" si="14"/>
        <v>3.4229485151994379E-2</v>
      </c>
      <c r="O460">
        <f t="shared" si="15"/>
        <v>161</v>
      </c>
    </row>
    <row r="461" spans="1:15">
      <c r="A461" t="s">
        <v>324</v>
      </c>
      <c r="B461" t="s">
        <v>364</v>
      </c>
      <c r="C461" s="5">
        <v>45686</v>
      </c>
      <c r="D461" t="s">
        <v>15</v>
      </c>
      <c r="E461" t="s">
        <v>26</v>
      </c>
      <c r="F461">
        <v>1334</v>
      </c>
      <c r="G461">
        <v>357</v>
      </c>
      <c r="H461">
        <v>257</v>
      </c>
      <c r="I461">
        <v>56910</v>
      </c>
      <c r="J461">
        <v>70606</v>
      </c>
      <c r="K461">
        <v>228</v>
      </c>
      <c r="L461" t="s">
        <v>366</v>
      </c>
      <c r="M461" t="s">
        <v>22</v>
      </c>
      <c r="N461" s="11">
        <f t="shared" si="14"/>
        <v>3.4229485151994379E-2</v>
      </c>
      <c r="O461">
        <f t="shared" si="15"/>
        <v>161</v>
      </c>
    </row>
    <row r="462" spans="1:15">
      <c r="A462" t="s">
        <v>325</v>
      </c>
      <c r="B462" t="s">
        <v>14</v>
      </c>
      <c r="C462" s="5">
        <v>45413</v>
      </c>
      <c r="D462" t="s">
        <v>15</v>
      </c>
      <c r="E462" t="s">
        <v>36</v>
      </c>
      <c r="F462">
        <v>3359</v>
      </c>
      <c r="G462">
        <v>137</v>
      </c>
      <c r="H462">
        <v>387</v>
      </c>
      <c r="I462">
        <v>33861</v>
      </c>
      <c r="J462">
        <v>47257</v>
      </c>
      <c r="K462">
        <v>198</v>
      </c>
      <c r="L462" t="s">
        <v>21</v>
      </c>
      <c r="M462" t="s">
        <v>22</v>
      </c>
      <c r="N462" s="11">
        <f t="shared" si="14"/>
        <v>0.11467469950680724</v>
      </c>
      <c r="O462">
        <f t="shared" si="15"/>
        <v>231</v>
      </c>
    </row>
    <row r="463" spans="1:15">
      <c r="A463" t="s">
        <v>326</v>
      </c>
      <c r="B463" t="s">
        <v>364</v>
      </c>
      <c r="C463" s="5">
        <v>45468</v>
      </c>
      <c r="D463" t="s">
        <v>15</v>
      </c>
      <c r="E463" t="s">
        <v>50</v>
      </c>
      <c r="F463">
        <v>2172</v>
      </c>
      <c r="G463">
        <v>338</v>
      </c>
      <c r="H463">
        <v>70</v>
      </c>
      <c r="I463">
        <v>30515</v>
      </c>
      <c r="J463">
        <v>57853</v>
      </c>
      <c r="K463">
        <v>156</v>
      </c>
      <c r="L463" t="s">
        <v>21</v>
      </c>
      <c r="M463" t="s">
        <v>22</v>
      </c>
      <c r="N463" s="11">
        <f t="shared" si="14"/>
        <v>8.4548582664263475E-2</v>
      </c>
      <c r="O463">
        <f t="shared" si="15"/>
        <v>333</v>
      </c>
    </row>
    <row r="464" spans="1:15">
      <c r="A464" t="s">
        <v>326</v>
      </c>
      <c r="B464" t="s">
        <v>364</v>
      </c>
      <c r="C464" s="5">
        <v>45468</v>
      </c>
      <c r="D464" t="s">
        <v>15</v>
      </c>
      <c r="E464" t="s">
        <v>50</v>
      </c>
      <c r="F464">
        <v>2172</v>
      </c>
      <c r="G464">
        <v>338</v>
      </c>
      <c r="H464">
        <v>70</v>
      </c>
      <c r="I464">
        <v>30515</v>
      </c>
      <c r="J464">
        <v>57853</v>
      </c>
      <c r="K464">
        <v>156</v>
      </c>
      <c r="L464" t="s">
        <v>366</v>
      </c>
      <c r="M464" t="s">
        <v>22</v>
      </c>
      <c r="N464" s="11">
        <f t="shared" si="14"/>
        <v>8.4548582664263475E-2</v>
      </c>
      <c r="O464">
        <f t="shared" si="15"/>
        <v>333</v>
      </c>
    </row>
    <row r="465" spans="1:15">
      <c r="A465" t="s">
        <v>327</v>
      </c>
      <c r="B465" t="s">
        <v>24</v>
      </c>
      <c r="C465" s="5">
        <v>45513</v>
      </c>
      <c r="D465" t="s">
        <v>25</v>
      </c>
      <c r="E465" t="s">
        <v>48</v>
      </c>
      <c r="F465">
        <v>4877</v>
      </c>
      <c r="G465">
        <v>442</v>
      </c>
      <c r="H465">
        <v>236</v>
      </c>
      <c r="I465">
        <v>52673</v>
      </c>
      <c r="J465">
        <v>48241</v>
      </c>
      <c r="K465">
        <v>114</v>
      </c>
      <c r="L465" t="s">
        <v>21</v>
      </c>
      <c r="M465" t="s">
        <v>18</v>
      </c>
      <c r="N465" s="11">
        <f t="shared" si="14"/>
        <v>0.10546200140489435</v>
      </c>
      <c r="O465">
        <f t="shared" si="15"/>
        <v>404</v>
      </c>
    </row>
    <row r="466" spans="1:15">
      <c r="A466" t="s">
        <v>327</v>
      </c>
      <c r="B466" t="s">
        <v>24</v>
      </c>
      <c r="C466" s="5">
        <v>45513</v>
      </c>
      <c r="D466" t="s">
        <v>25</v>
      </c>
      <c r="E466" t="s">
        <v>48</v>
      </c>
      <c r="F466">
        <v>4877</v>
      </c>
      <c r="G466">
        <v>442</v>
      </c>
      <c r="H466">
        <v>236</v>
      </c>
      <c r="I466">
        <v>52673</v>
      </c>
      <c r="J466">
        <v>48241</v>
      </c>
      <c r="K466">
        <v>114</v>
      </c>
      <c r="L466" t="s">
        <v>365</v>
      </c>
      <c r="M466" t="s">
        <v>18</v>
      </c>
      <c r="N466" s="11">
        <f t="shared" si="14"/>
        <v>0.10546200140489435</v>
      </c>
      <c r="O466">
        <f t="shared" si="15"/>
        <v>404</v>
      </c>
    </row>
    <row r="467" spans="1:15">
      <c r="A467" t="s">
        <v>328</v>
      </c>
      <c r="B467" t="s">
        <v>14</v>
      </c>
      <c r="C467" s="5">
        <v>45678</v>
      </c>
      <c r="D467" t="s">
        <v>25</v>
      </c>
      <c r="E467" t="s">
        <v>26</v>
      </c>
      <c r="F467">
        <v>4918</v>
      </c>
      <c r="G467">
        <v>440</v>
      </c>
      <c r="H467">
        <v>149</v>
      </c>
      <c r="I467">
        <v>53269</v>
      </c>
      <c r="J467">
        <v>64370</v>
      </c>
      <c r="K467">
        <v>269</v>
      </c>
      <c r="L467" t="s">
        <v>41</v>
      </c>
      <c r="M467" t="s">
        <v>54</v>
      </c>
      <c r="N467" s="11">
        <f t="shared" si="14"/>
        <v>0.10338095327488783</v>
      </c>
      <c r="O467">
        <f t="shared" si="15"/>
        <v>79</v>
      </c>
    </row>
    <row r="468" spans="1:15">
      <c r="A468" t="s">
        <v>329</v>
      </c>
      <c r="B468" t="s">
        <v>24</v>
      </c>
      <c r="C468" s="5">
        <v>45517</v>
      </c>
      <c r="D468" t="s">
        <v>15</v>
      </c>
      <c r="E468" t="s">
        <v>20</v>
      </c>
      <c r="F468">
        <v>3418</v>
      </c>
      <c r="G468">
        <v>107</v>
      </c>
      <c r="H468">
        <v>221</v>
      </c>
      <c r="I468">
        <v>23927</v>
      </c>
      <c r="J468">
        <v>26182</v>
      </c>
      <c r="K468">
        <v>155</v>
      </c>
      <c r="L468" t="s">
        <v>44</v>
      </c>
      <c r="M468" t="s">
        <v>22</v>
      </c>
      <c r="N468" s="11">
        <f t="shared" si="14"/>
        <v>0.1565595352530614</v>
      </c>
      <c r="O468">
        <f t="shared" si="15"/>
        <v>335</v>
      </c>
    </row>
    <row r="469" spans="1:15">
      <c r="A469" t="s">
        <v>330</v>
      </c>
      <c r="B469" t="s">
        <v>14</v>
      </c>
      <c r="C469" s="5">
        <v>45472</v>
      </c>
      <c r="D469" t="s">
        <v>15</v>
      </c>
      <c r="E469" t="s">
        <v>50</v>
      </c>
      <c r="F469">
        <v>2088</v>
      </c>
      <c r="G469">
        <v>490</v>
      </c>
      <c r="H469">
        <v>124</v>
      </c>
      <c r="I469">
        <v>46544</v>
      </c>
      <c r="J469">
        <v>69346</v>
      </c>
      <c r="K469">
        <v>178</v>
      </c>
      <c r="L469" t="s">
        <v>44</v>
      </c>
      <c r="M469" t="s">
        <v>18</v>
      </c>
      <c r="N469" s="11">
        <f t="shared" si="14"/>
        <v>5.8052595393606049E-2</v>
      </c>
      <c r="O469">
        <f t="shared" si="15"/>
        <v>266</v>
      </c>
    </row>
    <row r="470" spans="1:15">
      <c r="A470" t="s">
        <v>330</v>
      </c>
      <c r="B470" t="s">
        <v>14</v>
      </c>
      <c r="C470" s="5">
        <v>45472</v>
      </c>
      <c r="D470" t="s">
        <v>15</v>
      </c>
      <c r="E470" t="s">
        <v>50</v>
      </c>
      <c r="F470">
        <v>2088</v>
      </c>
      <c r="G470">
        <v>490</v>
      </c>
      <c r="H470">
        <v>124</v>
      </c>
      <c r="I470">
        <v>46544</v>
      </c>
      <c r="J470">
        <v>69346</v>
      </c>
      <c r="K470">
        <v>178</v>
      </c>
      <c r="L470" t="s">
        <v>41</v>
      </c>
      <c r="M470" t="s">
        <v>18</v>
      </c>
      <c r="N470" s="11">
        <f t="shared" si="14"/>
        <v>5.8052595393606049E-2</v>
      </c>
      <c r="O470">
        <f t="shared" si="15"/>
        <v>266</v>
      </c>
    </row>
    <row r="471" spans="1:15">
      <c r="A471" t="s">
        <v>331</v>
      </c>
      <c r="B471" t="s">
        <v>24</v>
      </c>
      <c r="C471" s="5">
        <v>45599</v>
      </c>
      <c r="D471" t="s">
        <v>25</v>
      </c>
      <c r="E471" t="s">
        <v>20</v>
      </c>
      <c r="F471">
        <v>3061</v>
      </c>
      <c r="G471">
        <v>320</v>
      </c>
      <c r="H471">
        <v>76</v>
      </c>
      <c r="I471">
        <v>26640</v>
      </c>
      <c r="J471">
        <v>24306</v>
      </c>
      <c r="K471">
        <v>112</v>
      </c>
      <c r="L471" t="s">
        <v>365</v>
      </c>
      <c r="M471" t="s">
        <v>18</v>
      </c>
      <c r="N471" s="11">
        <f t="shared" si="14"/>
        <v>0.12976726726726726</v>
      </c>
      <c r="O471">
        <f t="shared" si="15"/>
        <v>412</v>
      </c>
    </row>
    <row r="472" spans="1:15">
      <c r="A472" t="s">
        <v>331</v>
      </c>
      <c r="B472" t="s">
        <v>24</v>
      </c>
      <c r="C472" s="5">
        <v>45599</v>
      </c>
      <c r="D472" t="s">
        <v>25</v>
      </c>
      <c r="E472" t="s">
        <v>20</v>
      </c>
      <c r="F472">
        <v>3061</v>
      </c>
      <c r="G472">
        <v>320</v>
      </c>
      <c r="H472">
        <v>76</v>
      </c>
      <c r="I472">
        <v>26640</v>
      </c>
      <c r="J472">
        <v>24306</v>
      </c>
      <c r="K472">
        <v>112</v>
      </c>
      <c r="L472" t="s">
        <v>41</v>
      </c>
      <c r="M472" t="s">
        <v>18</v>
      </c>
      <c r="N472" s="11">
        <f t="shared" si="14"/>
        <v>0.12976726726726726</v>
      </c>
      <c r="O472">
        <f t="shared" si="15"/>
        <v>412</v>
      </c>
    </row>
    <row r="473" spans="1:15">
      <c r="A473" t="s">
        <v>332</v>
      </c>
      <c r="B473" t="s">
        <v>364</v>
      </c>
      <c r="C473" s="5">
        <v>45765</v>
      </c>
      <c r="D473" t="s">
        <v>56</v>
      </c>
      <c r="E473" t="s">
        <v>50</v>
      </c>
      <c r="F473">
        <v>1265</v>
      </c>
      <c r="G473">
        <v>230</v>
      </c>
      <c r="H473">
        <v>364</v>
      </c>
      <c r="I473">
        <v>41312</v>
      </c>
      <c r="J473">
        <v>50382</v>
      </c>
      <c r="K473">
        <v>106</v>
      </c>
      <c r="L473" t="s">
        <v>21</v>
      </c>
      <c r="M473" t="s">
        <v>58</v>
      </c>
      <c r="N473" s="11">
        <f t="shared" si="14"/>
        <v>4.4999031758326875E-2</v>
      </c>
      <c r="O473">
        <f t="shared" si="15"/>
        <v>426</v>
      </c>
    </row>
    <row r="474" spans="1:15">
      <c r="A474" t="s">
        <v>332</v>
      </c>
      <c r="B474" t="s">
        <v>364</v>
      </c>
      <c r="C474" s="5">
        <v>45765</v>
      </c>
      <c r="D474" t="s">
        <v>56</v>
      </c>
      <c r="E474" t="s">
        <v>50</v>
      </c>
      <c r="F474">
        <v>1265</v>
      </c>
      <c r="G474">
        <v>230</v>
      </c>
      <c r="H474">
        <v>364</v>
      </c>
      <c r="I474">
        <v>41312</v>
      </c>
      <c r="J474">
        <v>50382</v>
      </c>
      <c r="K474">
        <v>106</v>
      </c>
      <c r="L474" t="s">
        <v>44</v>
      </c>
      <c r="M474" t="s">
        <v>58</v>
      </c>
      <c r="N474" s="11">
        <f t="shared" si="14"/>
        <v>4.4999031758326875E-2</v>
      </c>
      <c r="O474">
        <f t="shared" si="15"/>
        <v>426</v>
      </c>
    </row>
    <row r="475" spans="1:15">
      <c r="A475" t="s">
        <v>333</v>
      </c>
      <c r="B475" t="s">
        <v>14</v>
      </c>
      <c r="C475" s="5">
        <v>45653</v>
      </c>
      <c r="D475" t="s">
        <v>15</v>
      </c>
      <c r="E475" t="s">
        <v>48</v>
      </c>
      <c r="F475">
        <v>1436</v>
      </c>
      <c r="G475">
        <v>219</v>
      </c>
      <c r="H475">
        <v>229</v>
      </c>
      <c r="I475">
        <v>58488</v>
      </c>
      <c r="J475">
        <v>24314</v>
      </c>
      <c r="K475">
        <v>147</v>
      </c>
      <c r="L475" t="s">
        <v>21</v>
      </c>
      <c r="M475" t="s">
        <v>22</v>
      </c>
      <c r="N475" s="11">
        <f t="shared" si="14"/>
        <v>3.221173574066475E-2</v>
      </c>
      <c r="O475">
        <f t="shared" si="15"/>
        <v>346</v>
      </c>
    </row>
    <row r="476" spans="1:15">
      <c r="A476" t="s">
        <v>334</v>
      </c>
      <c r="B476" t="s">
        <v>14</v>
      </c>
      <c r="C476" s="5">
        <v>45724</v>
      </c>
      <c r="D476" t="s">
        <v>25</v>
      </c>
      <c r="E476" t="s">
        <v>40</v>
      </c>
      <c r="F476">
        <v>2244</v>
      </c>
      <c r="G476">
        <v>392</v>
      </c>
      <c r="H476">
        <v>231</v>
      </c>
      <c r="I476">
        <v>25834</v>
      </c>
      <c r="J476">
        <v>50906</v>
      </c>
      <c r="K476">
        <v>165</v>
      </c>
      <c r="L476" t="s">
        <v>41</v>
      </c>
      <c r="M476" t="s">
        <v>54</v>
      </c>
      <c r="N476" s="11">
        <f t="shared" si="14"/>
        <v>0.1109777812185492</v>
      </c>
      <c r="O476">
        <f t="shared" si="15"/>
        <v>302</v>
      </c>
    </row>
    <row r="477" spans="1:15">
      <c r="A477" t="s">
        <v>335</v>
      </c>
      <c r="B477" t="s">
        <v>24</v>
      </c>
      <c r="C477" s="5">
        <v>45736</v>
      </c>
      <c r="D477" t="s">
        <v>25</v>
      </c>
      <c r="E477" t="s">
        <v>50</v>
      </c>
      <c r="F477">
        <v>3393</v>
      </c>
      <c r="G477">
        <v>104</v>
      </c>
      <c r="H477">
        <v>79</v>
      </c>
      <c r="I477">
        <v>30025</v>
      </c>
      <c r="J477">
        <v>21593</v>
      </c>
      <c r="K477">
        <v>165</v>
      </c>
      <c r="L477" t="s">
        <v>365</v>
      </c>
      <c r="M477" t="s">
        <v>18</v>
      </c>
      <c r="N477" s="11">
        <f t="shared" si="14"/>
        <v>0.1191007493755204</v>
      </c>
      <c r="O477">
        <f t="shared" si="15"/>
        <v>302</v>
      </c>
    </row>
    <row r="478" spans="1:15">
      <c r="A478" t="s">
        <v>335</v>
      </c>
      <c r="B478" t="s">
        <v>24</v>
      </c>
      <c r="C478" s="5">
        <v>45736</v>
      </c>
      <c r="D478" t="s">
        <v>25</v>
      </c>
      <c r="E478" t="s">
        <v>50</v>
      </c>
      <c r="F478">
        <v>3393</v>
      </c>
      <c r="G478">
        <v>104</v>
      </c>
      <c r="H478">
        <v>79</v>
      </c>
      <c r="I478">
        <v>30025</v>
      </c>
      <c r="J478">
        <v>21593</v>
      </c>
      <c r="K478">
        <v>165</v>
      </c>
      <c r="L478" t="s">
        <v>41</v>
      </c>
      <c r="M478" t="s">
        <v>18</v>
      </c>
      <c r="N478" s="11">
        <f t="shared" si="14"/>
        <v>0.1191007493755204</v>
      </c>
      <c r="O478">
        <f t="shared" si="15"/>
        <v>302</v>
      </c>
    </row>
    <row r="479" spans="1:15">
      <c r="A479" t="s">
        <v>336</v>
      </c>
      <c r="B479" t="s">
        <v>24</v>
      </c>
      <c r="C479" s="5">
        <v>45612</v>
      </c>
      <c r="D479" t="s">
        <v>15</v>
      </c>
      <c r="E479" t="s">
        <v>20</v>
      </c>
      <c r="F479">
        <v>2901</v>
      </c>
      <c r="G479">
        <v>108</v>
      </c>
      <c r="H479">
        <v>86</v>
      </c>
      <c r="I479">
        <v>51777</v>
      </c>
      <c r="J479">
        <v>23773</v>
      </c>
      <c r="K479">
        <v>160</v>
      </c>
      <c r="L479" t="s">
        <v>44</v>
      </c>
      <c r="M479" t="s">
        <v>22</v>
      </c>
      <c r="N479" s="11">
        <f t="shared" si="14"/>
        <v>5.9775576027966085E-2</v>
      </c>
      <c r="O479">
        <f t="shared" si="15"/>
        <v>314</v>
      </c>
    </row>
    <row r="480" spans="1:15">
      <c r="A480" t="s">
        <v>337</v>
      </c>
      <c r="B480" t="s">
        <v>24</v>
      </c>
      <c r="C480" s="5">
        <v>45838</v>
      </c>
      <c r="D480" t="s">
        <v>15</v>
      </c>
      <c r="E480" t="s">
        <v>34</v>
      </c>
      <c r="F480">
        <v>2275</v>
      </c>
      <c r="G480">
        <v>285</v>
      </c>
      <c r="H480">
        <v>125</v>
      </c>
      <c r="I480">
        <v>43970</v>
      </c>
      <c r="J480">
        <v>74761</v>
      </c>
      <c r="K480">
        <v>83</v>
      </c>
      <c r="L480" t="s">
        <v>41</v>
      </c>
      <c r="M480" t="s">
        <v>18</v>
      </c>
      <c r="N480" s="11">
        <f t="shared" si="14"/>
        <v>6.1064362065044349E-2</v>
      </c>
      <c r="O480">
        <f t="shared" si="15"/>
        <v>475</v>
      </c>
    </row>
    <row r="481" spans="1:15">
      <c r="A481" t="s">
        <v>338</v>
      </c>
      <c r="B481" t="s">
        <v>24</v>
      </c>
      <c r="C481" s="5">
        <v>45303</v>
      </c>
      <c r="D481" t="s">
        <v>25</v>
      </c>
      <c r="E481" t="s">
        <v>29</v>
      </c>
      <c r="F481">
        <v>2227</v>
      </c>
      <c r="G481">
        <v>494</v>
      </c>
      <c r="H481">
        <v>161</v>
      </c>
      <c r="I481">
        <v>51651</v>
      </c>
      <c r="J481">
        <v>68074</v>
      </c>
      <c r="K481">
        <v>240</v>
      </c>
      <c r="L481" t="s">
        <v>21</v>
      </c>
      <c r="M481" t="s">
        <v>18</v>
      </c>
      <c r="N481" s="11">
        <f t="shared" si="14"/>
        <v>5.5797564422760453E-2</v>
      </c>
      <c r="O481">
        <f t="shared" si="15"/>
        <v>129</v>
      </c>
    </row>
    <row r="482" spans="1:15">
      <c r="A482" t="s">
        <v>338</v>
      </c>
      <c r="B482" t="s">
        <v>24</v>
      </c>
      <c r="C482" s="5">
        <v>45303</v>
      </c>
      <c r="D482" t="s">
        <v>25</v>
      </c>
      <c r="E482" t="s">
        <v>29</v>
      </c>
      <c r="F482">
        <v>2227</v>
      </c>
      <c r="G482">
        <v>494</v>
      </c>
      <c r="H482">
        <v>161</v>
      </c>
      <c r="I482">
        <v>51651</v>
      </c>
      <c r="J482">
        <v>68074</v>
      </c>
      <c r="K482">
        <v>240</v>
      </c>
      <c r="L482" t="s">
        <v>365</v>
      </c>
      <c r="M482" t="s">
        <v>18</v>
      </c>
      <c r="N482" s="11">
        <f t="shared" si="14"/>
        <v>5.5797564422760453E-2</v>
      </c>
      <c r="O482">
        <f t="shared" si="15"/>
        <v>129</v>
      </c>
    </row>
    <row r="483" spans="1:15">
      <c r="A483" t="s">
        <v>339</v>
      </c>
      <c r="B483" t="s">
        <v>14</v>
      </c>
      <c r="C483" s="5">
        <v>45329</v>
      </c>
      <c r="D483" t="s">
        <v>15</v>
      </c>
      <c r="E483" t="s">
        <v>31</v>
      </c>
      <c r="F483">
        <v>1883</v>
      </c>
      <c r="G483">
        <v>432</v>
      </c>
      <c r="H483">
        <v>397</v>
      </c>
      <c r="I483">
        <v>28759</v>
      </c>
      <c r="J483">
        <v>18691</v>
      </c>
      <c r="K483">
        <v>270</v>
      </c>
      <c r="L483" t="s">
        <v>44</v>
      </c>
      <c r="M483" t="s">
        <v>18</v>
      </c>
      <c r="N483" s="11">
        <f t="shared" si="14"/>
        <v>9.4300914496331587E-2</v>
      </c>
      <c r="O483">
        <f t="shared" si="15"/>
        <v>73</v>
      </c>
    </row>
    <row r="484" spans="1:15">
      <c r="A484" t="s">
        <v>339</v>
      </c>
      <c r="B484" t="s">
        <v>14</v>
      </c>
      <c r="C484" s="5">
        <v>45329</v>
      </c>
      <c r="D484" t="s">
        <v>15</v>
      </c>
      <c r="E484" t="s">
        <v>31</v>
      </c>
      <c r="F484">
        <v>1883</v>
      </c>
      <c r="G484">
        <v>432</v>
      </c>
      <c r="H484">
        <v>397</v>
      </c>
      <c r="I484">
        <v>28759</v>
      </c>
      <c r="J484">
        <v>18691</v>
      </c>
      <c r="K484">
        <v>270</v>
      </c>
      <c r="L484" t="s">
        <v>41</v>
      </c>
      <c r="M484" t="s">
        <v>18</v>
      </c>
      <c r="N484" s="11">
        <f t="shared" si="14"/>
        <v>9.4300914496331587E-2</v>
      </c>
      <c r="O484">
        <f t="shared" si="15"/>
        <v>73</v>
      </c>
    </row>
    <row r="485" spans="1:15">
      <c r="C485" s="5"/>
      <c r="F485">
        <f>SUBTOTAL(109,Table1_1[Likes])</f>
        <v>1457583</v>
      </c>
      <c r="G485">
        <f>SUBTOTAL(109,Table1_1[Shares])</f>
        <v>149588</v>
      </c>
      <c r="H485">
        <f>SUBTOTAL(109,Table1_1[Comments])</f>
        <v>107386</v>
      </c>
    </row>
    <row r="488" spans="1:15">
      <c r="F488">
        <f>SUM(Table1_1[[#Totals],[Likes]],Table1_1[[#Totals],[Shares]],Table1_1[[#Totals],[Comments]])</f>
        <v>1714557</v>
      </c>
    </row>
  </sheetData>
  <conditionalFormatting sqref="N1:N1048576">
    <cfRule type="top10" dxfId="4" priority="8" rank="10"/>
    <cfRule type="top10" dxfId="3" priority="9" rank="10"/>
    <cfRule type="top10" dxfId="2" priority="10" rank="10"/>
  </conditionalFormatting>
  <conditionalFormatting sqref="O1:O1048576">
    <cfRule type="top10" dxfId="1" priority="5" bottom="1" rank="10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33ED-9926-477F-89E7-0748DEB9B520}">
  <dimension ref="A1:L37"/>
  <sheetViews>
    <sheetView workbookViewId="0">
      <selection activeCell="E20" sqref="E20"/>
    </sheetView>
  </sheetViews>
  <sheetFormatPr defaultRowHeight="14.4"/>
  <cols>
    <col min="1" max="1" width="12.5546875" bestFit="1" customWidth="1"/>
    <col min="2" max="2" width="25.77734375" bestFit="1" customWidth="1"/>
    <col min="3" max="3" width="13.109375" bestFit="1" customWidth="1"/>
    <col min="4" max="4" width="16.6640625" bestFit="1" customWidth="1"/>
    <col min="5" max="5" width="21.33203125" bestFit="1" customWidth="1"/>
    <col min="6" max="6" width="25.77734375" bestFit="1" customWidth="1"/>
    <col min="7" max="7" width="4.5546875" bestFit="1" customWidth="1"/>
    <col min="8" max="8" width="17.21875" bestFit="1" customWidth="1"/>
    <col min="9" max="9" width="21.33203125" bestFit="1" customWidth="1"/>
    <col min="10" max="10" width="25.77734375" bestFit="1" customWidth="1"/>
    <col min="11" max="11" width="4.5546875" bestFit="1" customWidth="1"/>
    <col min="12" max="12" width="10.77734375" bestFit="1" customWidth="1"/>
    <col min="13" max="600" width="15.5546875" bestFit="1" customWidth="1"/>
    <col min="601" max="601" width="16.33203125" bestFit="1" customWidth="1"/>
    <col min="602" max="602" width="17.88671875" bestFit="1" customWidth="1"/>
  </cols>
  <sheetData>
    <row r="1" spans="1:12">
      <c r="A1" s="31" t="s">
        <v>424</v>
      </c>
      <c r="H1" s="31" t="s">
        <v>448</v>
      </c>
    </row>
    <row r="2" spans="1:12">
      <c r="A2" s="37" t="s">
        <v>428</v>
      </c>
      <c r="H2" s="31" t="s">
        <v>449</v>
      </c>
    </row>
    <row r="3" spans="1:12">
      <c r="A3" s="8" t="s">
        <v>371</v>
      </c>
      <c r="B3" t="s">
        <v>368</v>
      </c>
      <c r="C3" t="s">
        <v>369</v>
      </c>
      <c r="D3" t="s">
        <v>370</v>
      </c>
      <c r="H3" s="8" t="s">
        <v>371</v>
      </c>
      <c r="I3" t="s">
        <v>385</v>
      </c>
      <c r="J3" t="s">
        <v>374</v>
      </c>
    </row>
    <row r="4" spans="1:12">
      <c r="A4" s="9" t="s">
        <v>14</v>
      </c>
      <c r="B4">
        <v>344371</v>
      </c>
      <c r="C4">
        <v>40360</v>
      </c>
      <c r="D4">
        <v>28025</v>
      </c>
      <c r="H4" s="9" t="s">
        <v>21</v>
      </c>
      <c r="I4">
        <v>130</v>
      </c>
      <c r="J4" s="11">
        <v>8.760663345122878E-2</v>
      </c>
    </row>
    <row r="5" spans="1:12">
      <c r="A5" s="10" t="s">
        <v>25</v>
      </c>
      <c r="B5">
        <v>61815</v>
      </c>
      <c r="C5">
        <v>7993</v>
      </c>
      <c r="D5">
        <v>5656</v>
      </c>
      <c r="H5" s="9" t="s">
        <v>365</v>
      </c>
      <c r="I5">
        <v>67</v>
      </c>
      <c r="J5" s="11">
        <v>8.9057449367429237E-2</v>
      </c>
    </row>
    <row r="6" spans="1:12">
      <c r="A6" s="10" t="s">
        <v>15</v>
      </c>
      <c r="B6">
        <v>282556</v>
      </c>
      <c r="C6">
        <v>32367</v>
      </c>
      <c r="D6">
        <v>22369</v>
      </c>
      <c r="H6" s="9" t="s">
        <v>41</v>
      </c>
      <c r="I6">
        <v>143</v>
      </c>
      <c r="J6" s="11">
        <v>9.8567431094720506E-2</v>
      </c>
    </row>
    <row r="7" spans="1:12">
      <c r="A7" s="9" t="s">
        <v>24</v>
      </c>
      <c r="B7">
        <v>722398</v>
      </c>
      <c r="C7">
        <v>71992</v>
      </c>
      <c r="D7">
        <v>50019</v>
      </c>
      <c r="H7" s="9" t="s">
        <v>44</v>
      </c>
      <c r="I7">
        <v>109</v>
      </c>
      <c r="J7" s="11">
        <v>9.4448669905002544E-2</v>
      </c>
    </row>
    <row r="8" spans="1:12">
      <c r="A8" s="10" t="s">
        <v>25</v>
      </c>
      <c r="B8">
        <v>544206</v>
      </c>
      <c r="C8">
        <v>52988</v>
      </c>
      <c r="D8">
        <v>36884</v>
      </c>
      <c r="H8" s="9" t="s">
        <v>366</v>
      </c>
      <c r="I8">
        <v>34</v>
      </c>
      <c r="J8" s="11">
        <v>8.640329129367573E-2</v>
      </c>
    </row>
    <row r="9" spans="1:12">
      <c r="A9" s="10" t="s">
        <v>15</v>
      </c>
      <c r="B9">
        <v>178192</v>
      </c>
      <c r="C9">
        <v>19004</v>
      </c>
      <c r="D9">
        <v>13135</v>
      </c>
      <c r="H9" s="9" t="s">
        <v>372</v>
      </c>
      <c r="I9">
        <v>483</v>
      </c>
      <c r="J9" s="11">
        <v>9.251236237360827E-2</v>
      </c>
    </row>
    <row r="10" spans="1:12">
      <c r="A10" s="9" t="s">
        <v>364</v>
      </c>
      <c r="B10">
        <v>390814</v>
      </c>
      <c r="C10">
        <v>37236</v>
      </c>
      <c r="D10">
        <v>29342</v>
      </c>
    </row>
    <row r="11" spans="1:12">
      <c r="A11" s="10" t="s">
        <v>56</v>
      </c>
      <c r="B11">
        <v>179742</v>
      </c>
      <c r="C11">
        <v>18172</v>
      </c>
      <c r="D11">
        <v>13652</v>
      </c>
      <c r="H11" s="31" t="s">
        <v>448</v>
      </c>
    </row>
    <row r="12" spans="1:12">
      <c r="A12" s="10" t="s">
        <v>15</v>
      </c>
      <c r="B12">
        <v>211072</v>
      </c>
      <c r="C12">
        <v>19064</v>
      </c>
      <c r="D12">
        <v>15690</v>
      </c>
      <c r="H12" s="31" t="s">
        <v>450</v>
      </c>
    </row>
    <row r="13" spans="1:12">
      <c r="A13" s="9" t="s">
        <v>372</v>
      </c>
      <c r="B13">
        <v>1457583</v>
      </c>
      <c r="C13">
        <v>149588</v>
      </c>
      <c r="D13">
        <v>107386</v>
      </c>
      <c r="H13" s="8" t="s">
        <v>374</v>
      </c>
      <c r="I13" s="8" t="s">
        <v>380</v>
      </c>
    </row>
    <row r="14" spans="1:12">
      <c r="A14" s="9"/>
      <c r="H14" s="8" t="s">
        <v>371</v>
      </c>
      <c r="I14" t="s">
        <v>56</v>
      </c>
      <c r="J14" t="s">
        <v>25</v>
      </c>
      <c r="K14" t="s">
        <v>15</v>
      </c>
      <c r="L14" t="s">
        <v>372</v>
      </c>
    </row>
    <row r="15" spans="1:12">
      <c r="A15" s="39" t="s">
        <v>424</v>
      </c>
      <c r="H15" s="9" t="s">
        <v>14</v>
      </c>
      <c r="I15" s="11"/>
      <c r="J15" s="11">
        <v>9.5509123528654066E-2</v>
      </c>
      <c r="K15" s="11">
        <v>8.8783320500261664E-2</v>
      </c>
      <c r="L15" s="11">
        <v>9.0051299759712725E-2</v>
      </c>
    </row>
    <row r="16" spans="1:12">
      <c r="A16" s="37" t="s">
        <v>429</v>
      </c>
      <c r="H16" s="9" t="s">
        <v>24</v>
      </c>
      <c r="I16" s="11"/>
      <c r="J16" s="11">
        <v>9.6350204330797523E-2</v>
      </c>
      <c r="K16" s="11">
        <v>9.5584491232904453E-2</v>
      </c>
      <c r="L16" s="11">
        <v>9.6151444760706112E-2</v>
      </c>
    </row>
    <row r="17" spans="1:12">
      <c r="A17" s="8" t="s">
        <v>376</v>
      </c>
      <c r="B17" t="s">
        <v>373</v>
      </c>
      <c r="H17" s="9" t="s">
        <v>364</v>
      </c>
      <c r="I17" s="11">
        <v>9.010688153503349E-2</v>
      </c>
      <c r="J17" s="11"/>
      <c r="K17" s="11">
        <v>8.6403291293675771E-2</v>
      </c>
      <c r="L17" s="11">
        <v>8.8108118547634007E-2</v>
      </c>
    </row>
    <row r="18" spans="1:12">
      <c r="A18" s="9" t="s">
        <v>21</v>
      </c>
      <c r="B18">
        <v>197.16923076923078</v>
      </c>
      <c r="H18" s="9" t="s">
        <v>372</v>
      </c>
      <c r="I18" s="11">
        <v>9.010688153503349E-2</v>
      </c>
      <c r="J18" s="11">
        <v>9.6252007079785873E-2</v>
      </c>
      <c r="K18" s="11">
        <v>8.9893098696065904E-2</v>
      </c>
      <c r="L18" s="11">
        <v>9.2512362373608228E-2</v>
      </c>
    </row>
    <row r="19" spans="1:12">
      <c r="A19" s="9" t="s">
        <v>365</v>
      </c>
      <c r="B19">
        <v>183.47761194029852</v>
      </c>
    </row>
    <row r="20" spans="1:12">
      <c r="A20" s="9" t="s">
        <v>41</v>
      </c>
      <c r="B20">
        <v>186.72027972027973</v>
      </c>
    </row>
    <row r="21" spans="1:12">
      <c r="A21" s="9" t="s">
        <v>44</v>
      </c>
      <c r="B21">
        <v>192.45871559633028</v>
      </c>
    </row>
    <row r="22" spans="1:12">
      <c r="A22" s="9" t="s">
        <v>366</v>
      </c>
      <c r="B22">
        <v>208.47058823529412</v>
      </c>
      <c r="H22" s="42" t="s">
        <v>451</v>
      </c>
    </row>
    <row r="23" spans="1:12">
      <c r="A23" s="9" t="s">
        <v>372</v>
      </c>
      <c r="B23">
        <v>191.9089026915114</v>
      </c>
      <c r="H23" s="31" t="s">
        <v>386</v>
      </c>
    </row>
    <row r="24" spans="1:12">
      <c r="A24" s="9"/>
      <c r="H24" s="31" t="s">
        <v>387</v>
      </c>
    </row>
    <row r="25" spans="1:12">
      <c r="A25" s="22" t="s">
        <v>426</v>
      </c>
      <c r="H25" s="31" t="s">
        <v>388</v>
      </c>
    </row>
    <row r="26" spans="1:12">
      <c r="A26" s="37" t="s">
        <v>427</v>
      </c>
    </row>
    <row r="27" spans="1:12">
      <c r="A27" s="8" t="s">
        <v>371</v>
      </c>
      <c r="B27" t="s">
        <v>374</v>
      </c>
    </row>
    <row r="28" spans="1:12">
      <c r="A28" s="9" t="s">
        <v>14</v>
      </c>
      <c r="B28" s="11">
        <v>9.0051299759712766E-2</v>
      </c>
    </row>
    <row r="29" spans="1:12">
      <c r="A29" s="9" t="s">
        <v>24</v>
      </c>
      <c r="B29" s="11">
        <v>9.6151444760706181E-2</v>
      </c>
    </row>
    <row r="30" spans="1:12">
      <c r="A30" s="9" t="s">
        <v>364</v>
      </c>
      <c r="B30" s="11">
        <v>8.8108118547634021E-2</v>
      </c>
    </row>
    <row r="31" spans="1:12">
      <c r="A31" s="9" t="s">
        <v>372</v>
      </c>
      <c r="B31" s="11">
        <v>9.251236237360827E-2</v>
      </c>
    </row>
    <row r="33" spans="1:7">
      <c r="A33" s="37" t="s">
        <v>430</v>
      </c>
      <c r="B33" s="37"/>
      <c r="C33" s="37"/>
      <c r="D33" s="37"/>
      <c r="E33" s="37"/>
      <c r="F33" s="37"/>
      <c r="G33" s="37"/>
    </row>
    <row r="34" spans="1:7">
      <c r="D34" s="14"/>
    </row>
    <row r="37" spans="1:7">
      <c r="A37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K1" workbookViewId="0">
      <selection activeCell="G2" sqref="G2"/>
    </sheetView>
  </sheetViews>
  <sheetFormatPr defaultColWidth="14.44140625" defaultRowHeight="15" customHeight="1"/>
  <cols>
    <col min="1" max="1" width="19.5546875" style="5" customWidth="1"/>
    <col min="2" max="2" width="9.6640625" style="5" bestFit="1" customWidth="1"/>
    <col min="3" max="3" width="16.109375" bestFit="1" customWidth="1"/>
    <col min="4" max="4" width="10.6640625" bestFit="1" customWidth="1"/>
    <col min="5" max="5" width="16.5546875" bestFit="1" customWidth="1"/>
    <col min="6" max="6" width="19.109375" bestFit="1" customWidth="1"/>
    <col min="7" max="7" width="11" bestFit="1" customWidth="1"/>
    <col min="8" max="8" width="19.5546875" customWidth="1"/>
    <col min="9" max="9" width="22.44140625" style="11" bestFit="1" customWidth="1"/>
    <col min="10" max="10" width="26" style="11" customWidth="1"/>
    <col min="11" max="11" width="8.6640625" customWidth="1"/>
    <col min="12" max="12" width="12.5546875" bestFit="1" customWidth="1"/>
    <col min="13" max="28" width="8.6640625" customWidth="1"/>
  </cols>
  <sheetData>
    <row r="1" spans="1:12" ht="14.4">
      <c r="A1" s="3" t="s">
        <v>340</v>
      </c>
      <c r="B1" s="3" t="s">
        <v>1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407</v>
      </c>
      <c r="I1" s="13" t="s">
        <v>377</v>
      </c>
      <c r="J1" s="13" t="s">
        <v>415</v>
      </c>
      <c r="L1" s="37" t="s">
        <v>432</v>
      </c>
    </row>
    <row r="2" spans="1:12" ht="14.4">
      <c r="A2" s="4">
        <v>45894</v>
      </c>
      <c r="B2" s="4" t="s">
        <v>364</v>
      </c>
      <c r="C2" s="2">
        <v>791</v>
      </c>
      <c r="D2" s="2">
        <v>273</v>
      </c>
      <c r="E2" s="2">
        <v>144049</v>
      </c>
      <c r="F2" s="2">
        <v>3.08</v>
      </c>
      <c r="G2" s="2">
        <v>5281</v>
      </c>
      <c r="H2" s="2">
        <f t="shared" ref="H2:H33" si="0">(C2-D2)</f>
        <v>518</v>
      </c>
      <c r="I2" s="21">
        <f t="shared" ref="I2:I33" si="1">((C2-D2)/E2)*100</f>
        <v>0.35959985838152297</v>
      </c>
      <c r="J2" s="33">
        <f>AVERAGE(H1:H2)</f>
        <v>518</v>
      </c>
    </row>
    <row r="3" spans="1:12" ht="14.4">
      <c r="A3" s="4">
        <v>45684</v>
      </c>
      <c r="B3" s="4" t="s">
        <v>24</v>
      </c>
      <c r="C3" s="2">
        <v>1149</v>
      </c>
      <c r="D3" s="2">
        <v>280</v>
      </c>
      <c r="E3" s="2">
        <v>167310</v>
      </c>
      <c r="F3" s="2">
        <v>3.7</v>
      </c>
      <c r="G3" s="2">
        <v>5291</v>
      </c>
      <c r="H3" s="2">
        <f t="shared" si="0"/>
        <v>869</v>
      </c>
      <c r="I3" s="21">
        <f t="shared" si="1"/>
        <v>0.51939513477975008</v>
      </c>
      <c r="J3" s="33">
        <f>AVERAGE(H1:H3)</f>
        <v>693.5</v>
      </c>
      <c r="L3" s="37" t="s">
        <v>433</v>
      </c>
    </row>
    <row r="4" spans="1:12" ht="14.4">
      <c r="A4" s="4">
        <v>45873</v>
      </c>
      <c r="B4" s="4" t="s">
        <v>14</v>
      </c>
      <c r="C4" s="2">
        <v>949</v>
      </c>
      <c r="D4" s="2">
        <v>282</v>
      </c>
      <c r="E4" s="2">
        <v>87126</v>
      </c>
      <c r="F4" s="2">
        <v>4.96</v>
      </c>
      <c r="G4" s="2">
        <v>5413</v>
      </c>
      <c r="H4" s="2">
        <f t="shared" si="0"/>
        <v>667</v>
      </c>
      <c r="I4" s="21">
        <f t="shared" si="1"/>
        <v>0.76555792759910934</v>
      </c>
      <c r="J4" s="33">
        <f t="shared" ref="J4:J23" si="2">AVERAGE(H1:H4)</f>
        <v>684.66666666666663</v>
      </c>
      <c r="L4" s="12"/>
    </row>
    <row r="5" spans="1:12" ht="14.4">
      <c r="A5" s="4">
        <v>45782</v>
      </c>
      <c r="B5" s="4" t="s">
        <v>14</v>
      </c>
      <c r="C5" s="2">
        <v>1146</v>
      </c>
      <c r="D5" s="2">
        <v>227</v>
      </c>
      <c r="E5" s="2">
        <v>353781</v>
      </c>
      <c r="F5" s="2">
        <v>6.41</v>
      </c>
      <c r="G5" s="2">
        <v>5495</v>
      </c>
      <c r="H5" s="2">
        <f t="shared" si="0"/>
        <v>919</v>
      </c>
      <c r="I5" s="21">
        <f t="shared" si="1"/>
        <v>0.25976522198761381</v>
      </c>
      <c r="J5" s="33">
        <f t="shared" si="2"/>
        <v>743.25</v>
      </c>
      <c r="L5" s="31" t="s">
        <v>411</v>
      </c>
    </row>
    <row r="6" spans="1:12" ht="14.4">
      <c r="A6" s="4">
        <v>45880</v>
      </c>
      <c r="B6" s="4" t="s">
        <v>14</v>
      </c>
      <c r="C6" s="2">
        <v>1080</v>
      </c>
      <c r="D6" s="2">
        <v>184</v>
      </c>
      <c r="E6" s="2">
        <v>340557</v>
      </c>
      <c r="F6" s="2">
        <v>5.41</v>
      </c>
      <c r="G6" s="2">
        <v>5526</v>
      </c>
      <c r="H6" s="2">
        <f t="shared" si="0"/>
        <v>896</v>
      </c>
      <c r="I6" s="21">
        <f t="shared" si="1"/>
        <v>0.26309839468870116</v>
      </c>
      <c r="J6" s="33">
        <f t="shared" si="2"/>
        <v>837.75</v>
      </c>
      <c r="L6" s="20" t="s">
        <v>423</v>
      </c>
    </row>
    <row r="7" spans="1:12" ht="14.4">
      <c r="A7" s="4">
        <v>45516</v>
      </c>
      <c r="B7" s="4" t="s">
        <v>14</v>
      </c>
      <c r="C7" s="2">
        <v>1060</v>
      </c>
      <c r="D7" s="2">
        <v>83</v>
      </c>
      <c r="E7" s="2">
        <v>68724</v>
      </c>
      <c r="F7" s="2">
        <v>5.98</v>
      </c>
      <c r="G7" s="2">
        <v>5624</v>
      </c>
      <c r="H7" s="2">
        <f t="shared" si="0"/>
        <v>977</v>
      </c>
      <c r="I7" s="21">
        <f t="shared" si="1"/>
        <v>1.4216285431581397</v>
      </c>
      <c r="J7" s="33">
        <f t="shared" si="2"/>
        <v>864.75</v>
      </c>
      <c r="L7" s="20" t="s">
        <v>417</v>
      </c>
    </row>
    <row r="8" spans="1:12" ht="14.4">
      <c r="A8" s="4">
        <v>45509</v>
      </c>
      <c r="B8" s="4" t="s">
        <v>364</v>
      </c>
      <c r="C8" s="2">
        <v>937</v>
      </c>
      <c r="D8" s="2">
        <v>179</v>
      </c>
      <c r="E8" s="2">
        <v>318098</v>
      </c>
      <c r="F8" s="2">
        <v>5.3</v>
      </c>
      <c r="G8" s="2">
        <v>5836</v>
      </c>
      <c r="H8" s="2">
        <f t="shared" si="0"/>
        <v>758</v>
      </c>
      <c r="I8" s="21">
        <f t="shared" si="1"/>
        <v>0.23829134417695177</v>
      </c>
      <c r="J8" s="33">
        <f t="shared" si="2"/>
        <v>887.5</v>
      </c>
      <c r="L8" s="30"/>
    </row>
    <row r="9" spans="1:12" ht="14.4">
      <c r="A9" s="4">
        <v>45677</v>
      </c>
      <c r="B9" s="4" t="s">
        <v>24</v>
      </c>
      <c r="C9" s="2">
        <v>841</v>
      </c>
      <c r="D9" s="2">
        <v>295</v>
      </c>
      <c r="E9" s="2">
        <v>271638</v>
      </c>
      <c r="F9" s="2">
        <v>9.15</v>
      </c>
      <c r="G9" s="2">
        <v>5900</v>
      </c>
      <c r="H9" s="2">
        <f t="shared" si="0"/>
        <v>546</v>
      </c>
      <c r="I9" s="21">
        <f t="shared" si="1"/>
        <v>0.20100280520398472</v>
      </c>
      <c r="J9" s="33">
        <f t="shared" si="2"/>
        <v>794.25</v>
      </c>
      <c r="L9" s="32" t="s">
        <v>418</v>
      </c>
    </row>
    <row r="10" spans="1:12" ht="14.4">
      <c r="A10" s="4">
        <v>45614</v>
      </c>
      <c r="B10" s="4" t="s">
        <v>14</v>
      </c>
      <c r="C10" s="2">
        <v>946</v>
      </c>
      <c r="D10" s="2">
        <v>270</v>
      </c>
      <c r="E10" s="2">
        <v>246567</v>
      </c>
      <c r="F10" s="2">
        <v>4.53</v>
      </c>
      <c r="G10" s="2">
        <v>5924</v>
      </c>
      <c r="H10" s="2">
        <f t="shared" si="0"/>
        <v>676</v>
      </c>
      <c r="I10" s="21">
        <f t="shared" si="1"/>
        <v>0.27416483146568682</v>
      </c>
      <c r="J10" s="33">
        <f t="shared" si="2"/>
        <v>739.25</v>
      </c>
      <c r="L10" s="34" t="s">
        <v>422</v>
      </c>
    </row>
    <row r="11" spans="1:12" ht="14.4">
      <c r="A11" s="4">
        <v>45649</v>
      </c>
      <c r="B11" s="4" t="s">
        <v>24</v>
      </c>
      <c r="C11" s="2">
        <v>1360</v>
      </c>
      <c r="D11" s="2">
        <v>227</v>
      </c>
      <c r="E11" s="2">
        <v>176902</v>
      </c>
      <c r="F11" s="2">
        <v>6.03</v>
      </c>
      <c r="G11" s="2">
        <v>5960</v>
      </c>
      <c r="H11" s="2">
        <f t="shared" si="0"/>
        <v>1133</v>
      </c>
      <c r="I11" s="21">
        <f t="shared" si="1"/>
        <v>0.64046760353189902</v>
      </c>
      <c r="J11" s="33">
        <f t="shared" si="2"/>
        <v>778.25</v>
      </c>
      <c r="L11" s="32" t="s">
        <v>419</v>
      </c>
    </row>
    <row r="12" spans="1:12" ht="14.4">
      <c r="A12" s="4">
        <v>45670</v>
      </c>
      <c r="B12" s="4" t="s">
        <v>364</v>
      </c>
      <c r="C12" s="2">
        <v>685</v>
      </c>
      <c r="D12" s="2">
        <v>165</v>
      </c>
      <c r="E12" s="2">
        <v>175860</v>
      </c>
      <c r="F12" s="2">
        <v>6.26</v>
      </c>
      <c r="G12" s="2">
        <v>6027</v>
      </c>
      <c r="H12" s="2">
        <f t="shared" si="0"/>
        <v>520</v>
      </c>
      <c r="I12" s="21">
        <f t="shared" si="1"/>
        <v>0.2956897532127829</v>
      </c>
      <c r="J12" s="33">
        <f t="shared" si="2"/>
        <v>718.75</v>
      </c>
      <c r="L12" s="30"/>
    </row>
    <row r="13" spans="1:12" ht="14.4">
      <c r="A13" s="4">
        <v>45523</v>
      </c>
      <c r="B13" s="4" t="s">
        <v>14</v>
      </c>
      <c r="C13" s="2">
        <v>1002</v>
      </c>
      <c r="D13" s="2">
        <v>93</v>
      </c>
      <c r="E13" s="2">
        <v>353538</v>
      </c>
      <c r="F13" s="2">
        <v>5.84</v>
      </c>
      <c r="G13" s="2">
        <v>6031</v>
      </c>
      <c r="H13" s="2">
        <f t="shared" si="0"/>
        <v>909</v>
      </c>
      <c r="I13" s="21">
        <f t="shared" si="1"/>
        <v>0.25711521816608118</v>
      </c>
      <c r="J13" s="33">
        <f t="shared" si="2"/>
        <v>809.5</v>
      </c>
      <c r="L13" s="32" t="s">
        <v>420</v>
      </c>
    </row>
    <row r="14" spans="1:12" ht="14.4">
      <c r="A14" s="4">
        <v>45698</v>
      </c>
      <c r="B14" s="4" t="s">
        <v>24</v>
      </c>
      <c r="C14" s="2">
        <v>1270</v>
      </c>
      <c r="D14" s="2">
        <v>162</v>
      </c>
      <c r="E14" s="2">
        <v>92040</v>
      </c>
      <c r="F14" s="2">
        <v>8.0299999999999994</v>
      </c>
      <c r="G14" s="2">
        <v>6120</v>
      </c>
      <c r="H14" s="2">
        <f t="shared" si="0"/>
        <v>1108</v>
      </c>
      <c r="I14" s="21">
        <f t="shared" si="1"/>
        <v>1.2038244241634073</v>
      </c>
      <c r="J14" s="33">
        <f t="shared" si="2"/>
        <v>917.5</v>
      </c>
      <c r="L14" s="31">
        <f>CORREL(Table3[Ad_Spend],Table3[Net_Follower_Gain])</f>
        <v>-1.6915989818837299E-2</v>
      </c>
    </row>
    <row r="15" spans="1:12" ht="14.4">
      <c r="A15" s="4">
        <v>45705</v>
      </c>
      <c r="B15" s="4" t="s">
        <v>364</v>
      </c>
      <c r="C15" s="2">
        <v>646</v>
      </c>
      <c r="D15" s="2">
        <v>290</v>
      </c>
      <c r="E15" s="2">
        <v>336383</v>
      </c>
      <c r="F15" s="2">
        <v>7.04</v>
      </c>
      <c r="G15" s="2">
        <v>6532</v>
      </c>
      <c r="H15" s="2">
        <f t="shared" si="0"/>
        <v>356</v>
      </c>
      <c r="I15" s="21">
        <f t="shared" si="1"/>
        <v>0.10583174536168594</v>
      </c>
      <c r="J15" s="33">
        <f t="shared" si="2"/>
        <v>723.25</v>
      </c>
      <c r="L15" s="20" t="s">
        <v>421</v>
      </c>
    </row>
    <row r="16" spans="1:12" ht="14.4">
      <c r="A16" s="4">
        <v>45621</v>
      </c>
      <c r="B16" s="4" t="s">
        <v>364</v>
      </c>
      <c r="C16" s="2">
        <v>1313</v>
      </c>
      <c r="D16" s="2">
        <v>159</v>
      </c>
      <c r="E16" s="2">
        <v>197183</v>
      </c>
      <c r="F16" s="2">
        <v>9.7100000000000009</v>
      </c>
      <c r="G16" s="2">
        <v>6625</v>
      </c>
      <c r="H16" s="2">
        <f t="shared" si="0"/>
        <v>1154</v>
      </c>
      <c r="I16" s="21">
        <f t="shared" si="1"/>
        <v>0.58524314976443204</v>
      </c>
      <c r="J16" s="33">
        <f t="shared" si="2"/>
        <v>881.75</v>
      </c>
    </row>
    <row r="17" spans="1:12" ht="14.4">
      <c r="A17" s="4">
        <v>45719</v>
      </c>
      <c r="B17" s="4" t="s">
        <v>24</v>
      </c>
      <c r="C17" s="2">
        <v>1234</v>
      </c>
      <c r="D17" s="2">
        <v>228</v>
      </c>
      <c r="E17" s="2">
        <v>127502</v>
      </c>
      <c r="F17" s="2">
        <v>7.71</v>
      </c>
      <c r="G17" s="2">
        <v>6772</v>
      </c>
      <c r="H17" s="2">
        <f t="shared" si="0"/>
        <v>1006</v>
      </c>
      <c r="I17" s="21">
        <f t="shared" si="1"/>
        <v>0.78900723125911754</v>
      </c>
      <c r="J17" s="33">
        <f t="shared" si="2"/>
        <v>906</v>
      </c>
    </row>
    <row r="18" spans="1:12" ht="14.4">
      <c r="A18" s="4">
        <v>45691</v>
      </c>
      <c r="B18" s="4" t="s">
        <v>14</v>
      </c>
      <c r="C18" s="2">
        <v>795</v>
      </c>
      <c r="D18" s="2">
        <v>60</v>
      </c>
      <c r="E18" s="2">
        <v>314982</v>
      </c>
      <c r="F18" s="2">
        <v>7.31</v>
      </c>
      <c r="G18" s="2">
        <v>6824</v>
      </c>
      <c r="H18" s="2">
        <f t="shared" si="0"/>
        <v>735</v>
      </c>
      <c r="I18" s="21">
        <f t="shared" si="1"/>
        <v>0.23334666742861496</v>
      </c>
      <c r="J18" s="33">
        <f t="shared" si="2"/>
        <v>812.75</v>
      </c>
    </row>
    <row r="19" spans="1:12" ht="14.4">
      <c r="A19" s="4">
        <v>45670</v>
      </c>
      <c r="B19" s="4" t="s">
        <v>24</v>
      </c>
      <c r="C19" s="2">
        <v>1414</v>
      </c>
      <c r="D19" s="2">
        <v>60</v>
      </c>
      <c r="E19" s="2">
        <v>341856</v>
      </c>
      <c r="F19" s="2">
        <v>8.76</v>
      </c>
      <c r="G19" s="2">
        <v>6868</v>
      </c>
      <c r="H19" s="2">
        <f t="shared" si="0"/>
        <v>1354</v>
      </c>
      <c r="I19" s="21">
        <f t="shared" si="1"/>
        <v>0.39607320041186933</v>
      </c>
      <c r="J19" s="33">
        <f t="shared" si="2"/>
        <v>1062.25</v>
      </c>
      <c r="L19" s="37"/>
    </row>
    <row r="20" spans="1:12" ht="14.4">
      <c r="A20" s="4">
        <v>45733</v>
      </c>
      <c r="B20" s="4" t="s">
        <v>14</v>
      </c>
      <c r="C20" s="2">
        <v>693</v>
      </c>
      <c r="D20" s="2">
        <v>129</v>
      </c>
      <c r="E20" s="2">
        <v>296031</v>
      </c>
      <c r="F20" s="2">
        <v>3.41</v>
      </c>
      <c r="G20" s="2">
        <v>7140</v>
      </c>
      <c r="H20" s="2">
        <f t="shared" si="0"/>
        <v>564</v>
      </c>
      <c r="I20" s="21">
        <f t="shared" si="1"/>
        <v>0.19052058737091723</v>
      </c>
      <c r="J20" s="33">
        <f t="shared" si="2"/>
        <v>914.75</v>
      </c>
    </row>
    <row r="21" spans="1:12" ht="15.75" customHeight="1">
      <c r="A21" s="4">
        <v>45845</v>
      </c>
      <c r="B21" s="4" t="s">
        <v>364</v>
      </c>
      <c r="C21" s="2">
        <v>1051</v>
      </c>
      <c r="D21" s="2">
        <v>246</v>
      </c>
      <c r="E21" s="2">
        <v>253985</v>
      </c>
      <c r="F21" s="2">
        <v>9.08</v>
      </c>
      <c r="G21" s="2">
        <v>7245</v>
      </c>
      <c r="H21" s="2">
        <f t="shared" si="0"/>
        <v>805</v>
      </c>
      <c r="I21" s="21">
        <f t="shared" si="1"/>
        <v>0.31694785125105812</v>
      </c>
      <c r="J21" s="33">
        <f t="shared" si="2"/>
        <v>864.5</v>
      </c>
    </row>
    <row r="22" spans="1:12" ht="15.75" customHeight="1">
      <c r="A22" s="4">
        <v>45628</v>
      </c>
      <c r="B22" s="4" t="s">
        <v>24</v>
      </c>
      <c r="C22" s="2">
        <v>1027</v>
      </c>
      <c r="D22" s="2">
        <v>156</v>
      </c>
      <c r="E22" s="2">
        <v>111293</v>
      </c>
      <c r="F22" s="2">
        <v>5.51</v>
      </c>
      <c r="G22" s="2">
        <v>7299</v>
      </c>
      <c r="H22" s="2">
        <f t="shared" si="0"/>
        <v>871</v>
      </c>
      <c r="I22" s="21">
        <f t="shared" si="1"/>
        <v>0.78261885293774092</v>
      </c>
      <c r="J22" s="33">
        <f t="shared" si="2"/>
        <v>898.5</v>
      </c>
    </row>
    <row r="23" spans="1:12" ht="15.75" customHeight="1">
      <c r="A23" s="4">
        <v>45495</v>
      </c>
      <c r="B23" s="4" t="s">
        <v>14</v>
      </c>
      <c r="C23" s="2">
        <v>866</v>
      </c>
      <c r="D23" s="2">
        <v>74</v>
      </c>
      <c r="E23" s="2">
        <v>204121</v>
      </c>
      <c r="F23" s="2">
        <v>9.34</v>
      </c>
      <c r="G23" s="2">
        <v>7797</v>
      </c>
      <c r="H23" s="2">
        <f t="shared" si="0"/>
        <v>792</v>
      </c>
      <c r="I23" s="21">
        <f t="shared" si="1"/>
        <v>0.38800515380583089</v>
      </c>
      <c r="J23" s="33">
        <f t="shared" si="2"/>
        <v>758</v>
      </c>
    </row>
    <row r="24" spans="1:12" ht="15.75" customHeight="1">
      <c r="A24" s="4">
        <v>45446</v>
      </c>
      <c r="B24" s="4" t="s">
        <v>364</v>
      </c>
      <c r="C24" s="2">
        <v>1472</v>
      </c>
      <c r="D24" s="2">
        <v>296</v>
      </c>
      <c r="E24" s="2">
        <v>370242</v>
      </c>
      <c r="F24" s="2">
        <v>7.72</v>
      </c>
      <c r="G24" s="2">
        <v>7810</v>
      </c>
      <c r="H24" s="2">
        <f t="shared" si="0"/>
        <v>1176</v>
      </c>
      <c r="I24" s="21">
        <f t="shared" si="1"/>
        <v>0.31763009058939828</v>
      </c>
      <c r="J24" s="33"/>
    </row>
    <row r="25" spans="1:12" ht="15.75" customHeight="1">
      <c r="A25" s="4">
        <v>45796</v>
      </c>
      <c r="B25" s="4" t="s">
        <v>364</v>
      </c>
      <c r="C25" s="2">
        <v>1358</v>
      </c>
      <c r="D25" s="2">
        <v>77</v>
      </c>
      <c r="E25" s="2">
        <v>169688</v>
      </c>
      <c r="F25" s="2">
        <v>5.25</v>
      </c>
      <c r="G25" s="2">
        <v>7859</v>
      </c>
      <c r="H25" s="2">
        <f t="shared" si="0"/>
        <v>1281</v>
      </c>
      <c r="I25" s="21">
        <f t="shared" si="1"/>
        <v>0.75491490264485406</v>
      </c>
      <c r="J25" s="33">
        <f t="shared" ref="J25:J48" si="3">AVERAGE(H22:H25)</f>
        <v>1030</v>
      </c>
    </row>
    <row r="26" spans="1:12" ht="15.75" customHeight="1">
      <c r="A26" s="4">
        <v>45908</v>
      </c>
      <c r="B26" s="4" t="s">
        <v>14</v>
      </c>
      <c r="C26" s="2">
        <v>1017</v>
      </c>
      <c r="D26" s="2">
        <v>197</v>
      </c>
      <c r="E26" s="2">
        <v>89918</v>
      </c>
      <c r="F26" s="2">
        <v>3.91</v>
      </c>
      <c r="G26" s="2">
        <v>7881</v>
      </c>
      <c r="H26" s="2">
        <f t="shared" si="0"/>
        <v>820</v>
      </c>
      <c r="I26" s="21">
        <f t="shared" si="1"/>
        <v>0.91194199159233968</v>
      </c>
      <c r="J26" s="33">
        <f t="shared" si="3"/>
        <v>1017.25</v>
      </c>
    </row>
    <row r="27" spans="1:12" ht="15.75" customHeight="1">
      <c r="A27" s="4">
        <v>45740</v>
      </c>
      <c r="B27" s="4" t="s">
        <v>364</v>
      </c>
      <c r="C27" s="2">
        <v>1398</v>
      </c>
      <c r="D27" s="2">
        <v>97</v>
      </c>
      <c r="E27" s="2">
        <v>397607</v>
      </c>
      <c r="F27" s="2">
        <v>5.09</v>
      </c>
      <c r="G27" s="2">
        <v>7975</v>
      </c>
      <c r="H27" s="2">
        <f t="shared" si="0"/>
        <v>1301</v>
      </c>
      <c r="I27" s="21">
        <f t="shared" si="1"/>
        <v>0.32720751898231165</v>
      </c>
      <c r="J27" s="33">
        <f t="shared" si="3"/>
        <v>1144.5</v>
      </c>
    </row>
    <row r="28" spans="1:12" ht="15.75" customHeight="1">
      <c r="A28" s="4">
        <v>45824</v>
      </c>
      <c r="B28" s="4" t="s">
        <v>14</v>
      </c>
      <c r="C28" s="2">
        <v>765</v>
      </c>
      <c r="D28" s="2">
        <v>67</v>
      </c>
      <c r="E28" s="2">
        <v>283537</v>
      </c>
      <c r="F28" s="2">
        <v>6.18</v>
      </c>
      <c r="G28" s="2">
        <v>8182</v>
      </c>
      <c r="H28" s="2">
        <f t="shared" si="0"/>
        <v>698</v>
      </c>
      <c r="I28" s="21">
        <f t="shared" si="1"/>
        <v>0.24617598408673294</v>
      </c>
      <c r="J28" s="33">
        <f t="shared" si="3"/>
        <v>1025</v>
      </c>
    </row>
    <row r="29" spans="1:12" ht="15.75" customHeight="1">
      <c r="A29" s="4">
        <v>45516</v>
      </c>
      <c r="B29" s="4" t="s">
        <v>364</v>
      </c>
      <c r="C29" s="2">
        <v>1109</v>
      </c>
      <c r="D29" s="2">
        <v>205</v>
      </c>
      <c r="E29" s="2">
        <v>276722</v>
      </c>
      <c r="F29" s="2">
        <v>9.3800000000000008</v>
      </c>
      <c r="G29" s="2">
        <v>8274</v>
      </c>
      <c r="H29" s="2">
        <f t="shared" si="0"/>
        <v>904</v>
      </c>
      <c r="I29" s="21">
        <f t="shared" si="1"/>
        <v>0.32668165162148294</v>
      </c>
      <c r="J29" s="33">
        <f t="shared" si="3"/>
        <v>930.75</v>
      </c>
    </row>
    <row r="30" spans="1:12" ht="15.75" customHeight="1">
      <c r="A30" s="4">
        <v>45733</v>
      </c>
      <c r="B30" s="4" t="s">
        <v>364</v>
      </c>
      <c r="C30" s="2">
        <v>1274</v>
      </c>
      <c r="D30" s="2">
        <v>146</v>
      </c>
      <c r="E30" s="2">
        <v>263488</v>
      </c>
      <c r="F30" s="2">
        <v>9.58</v>
      </c>
      <c r="G30" s="2">
        <v>8698</v>
      </c>
      <c r="H30" s="2">
        <f t="shared" si="0"/>
        <v>1128</v>
      </c>
      <c r="I30" s="21">
        <f t="shared" si="1"/>
        <v>0.42810298761233906</v>
      </c>
      <c r="J30" s="33">
        <f t="shared" si="3"/>
        <v>1007.75</v>
      </c>
    </row>
    <row r="31" spans="1:12" ht="15.75" customHeight="1">
      <c r="A31" s="4">
        <v>45621</v>
      </c>
      <c r="B31" s="4" t="s">
        <v>24</v>
      </c>
      <c r="C31" s="2">
        <v>954</v>
      </c>
      <c r="D31" s="2">
        <v>271</v>
      </c>
      <c r="E31" s="2">
        <v>160936</v>
      </c>
      <c r="F31" s="2">
        <v>8.83</v>
      </c>
      <c r="G31" s="2">
        <v>8760</v>
      </c>
      <c r="H31" s="2">
        <f t="shared" si="0"/>
        <v>683</v>
      </c>
      <c r="I31" s="21">
        <f t="shared" si="1"/>
        <v>0.42439230501565839</v>
      </c>
      <c r="J31" s="33">
        <f t="shared" si="3"/>
        <v>853.25</v>
      </c>
    </row>
    <row r="32" spans="1:12" ht="15.75" customHeight="1">
      <c r="A32" s="4">
        <v>45614</v>
      </c>
      <c r="B32" s="4" t="s">
        <v>364</v>
      </c>
      <c r="C32" s="2">
        <v>793</v>
      </c>
      <c r="D32" s="2">
        <v>111</v>
      </c>
      <c r="E32" s="2">
        <v>333500</v>
      </c>
      <c r="F32" s="2">
        <v>6.36</v>
      </c>
      <c r="G32" s="2">
        <v>8910</v>
      </c>
      <c r="H32" s="2">
        <f t="shared" si="0"/>
        <v>682</v>
      </c>
      <c r="I32" s="21">
        <f t="shared" si="1"/>
        <v>0.2044977511244378</v>
      </c>
      <c r="J32" s="33">
        <f t="shared" si="3"/>
        <v>849.25</v>
      </c>
    </row>
    <row r="33" spans="1:10" ht="15.75" customHeight="1">
      <c r="A33" s="4">
        <v>45607</v>
      </c>
      <c r="B33" s="4" t="s">
        <v>24</v>
      </c>
      <c r="C33" s="2">
        <v>655</v>
      </c>
      <c r="D33" s="2">
        <v>123</v>
      </c>
      <c r="E33" s="2">
        <v>202472</v>
      </c>
      <c r="F33" s="2">
        <v>7.56</v>
      </c>
      <c r="G33" s="2">
        <v>9092</v>
      </c>
      <c r="H33" s="2">
        <f t="shared" si="0"/>
        <v>532</v>
      </c>
      <c r="I33" s="21">
        <f t="shared" si="1"/>
        <v>0.26275238057607969</v>
      </c>
      <c r="J33" s="33">
        <f t="shared" si="3"/>
        <v>756.25</v>
      </c>
    </row>
    <row r="34" spans="1:10" ht="15.75" customHeight="1">
      <c r="A34" s="4">
        <v>45544</v>
      </c>
      <c r="B34" s="4" t="s">
        <v>14</v>
      </c>
      <c r="C34" s="2">
        <v>912</v>
      </c>
      <c r="D34" s="2">
        <v>275</v>
      </c>
      <c r="E34" s="2">
        <v>368454</v>
      </c>
      <c r="F34" s="2">
        <v>6.03</v>
      </c>
      <c r="G34" s="2">
        <v>9195</v>
      </c>
      <c r="H34" s="2">
        <f t="shared" ref="H34:H65" si="4">(C34-D34)</f>
        <v>637</v>
      </c>
      <c r="I34" s="21">
        <f t="shared" ref="I34:I65" si="5">((C34-D34)/E34)*100</f>
        <v>0.1728845391826388</v>
      </c>
      <c r="J34" s="33">
        <f t="shared" si="3"/>
        <v>633.5</v>
      </c>
    </row>
    <row r="35" spans="1:10" ht="15.75" customHeight="1">
      <c r="A35" s="4">
        <v>45663</v>
      </c>
      <c r="B35" s="4" t="s">
        <v>14</v>
      </c>
      <c r="C35" s="2">
        <v>613</v>
      </c>
      <c r="D35" s="2">
        <v>170</v>
      </c>
      <c r="E35" s="2">
        <v>139266</v>
      </c>
      <c r="F35" s="2">
        <v>6.06</v>
      </c>
      <c r="G35" s="2">
        <v>9247</v>
      </c>
      <c r="H35" s="2">
        <f t="shared" si="4"/>
        <v>443</v>
      </c>
      <c r="I35" s="21">
        <f t="shared" si="5"/>
        <v>0.31809630491290047</v>
      </c>
      <c r="J35" s="33">
        <f t="shared" si="3"/>
        <v>573.5</v>
      </c>
    </row>
    <row r="36" spans="1:10" ht="15.75" customHeight="1">
      <c r="A36" s="4">
        <v>45579</v>
      </c>
      <c r="B36" s="4" t="s">
        <v>24</v>
      </c>
      <c r="C36" s="2">
        <v>588</v>
      </c>
      <c r="D36" s="2">
        <v>52</v>
      </c>
      <c r="E36" s="2">
        <v>292040</v>
      </c>
      <c r="F36" s="2">
        <v>8.14</v>
      </c>
      <c r="G36" s="2">
        <v>9383</v>
      </c>
      <c r="H36" s="2">
        <f t="shared" si="4"/>
        <v>536</v>
      </c>
      <c r="I36" s="21">
        <f t="shared" si="5"/>
        <v>0.18353650184906178</v>
      </c>
      <c r="J36" s="33">
        <f t="shared" si="3"/>
        <v>537</v>
      </c>
    </row>
    <row r="37" spans="1:10" ht="15.75" customHeight="1">
      <c r="A37" s="4">
        <v>45551</v>
      </c>
      <c r="B37" s="4" t="s">
        <v>14</v>
      </c>
      <c r="C37" s="2">
        <v>681</v>
      </c>
      <c r="D37" s="2">
        <v>210</v>
      </c>
      <c r="E37" s="2">
        <v>248581</v>
      </c>
      <c r="F37" s="2">
        <v>8.76</v>
      </c>
      <c r="G37" s="2">
        <v>9567</v>
      </c>
      <c r="H37" s="2">
        <f t="shared" si="4"/>
        <v>471</v>
      </c>
      <c r="I37" s="21">
        <f t="shared" si="5"/>
        <v>0.18947546272643526</v>
      </c>
      <c r="J37" s="33">
        <f t="shared" si="3"/>
        <v>521.75</v>
      </c>
    </row>
    <row r="38" spans="1:10" ht="15.75" customHeight="1">
      <c r="A38" s="4">
        <v>45684</v>
      </c>
      <c r="B38" s="4" t="s">
        <v>14</v>
      </c>
      <c r="C38" s="2">
        <v>566</v>
      </c>
      <c r="D38" s="2">
        <v>225</v>
      </c>
      <c r="E38" s="2">
        <v>368984</v>
      </c>
      <c r="F38" s="2">
        <v>9.82</v>
      </c>
      <c r="G38" s="2">
        <v>9592</v>
      </c>
      <c r="H38" s="2">
        <f t="shared" si="4"/>
        <v>341</v>
      </c>
      <c r="I38" s="21">
        <f t="shared" si="5"/>
        <v>9.2415931314094923E-2</v>
      </c>
      <c r="J38" s="33">
        <f t="shared" si="3"/>
        <v>447.75</v>
      </c>
    </row>
    <row r="39" spans="1:10" ht="15.75" customHeight="1">
      <c r="A39" s="4">
        <v>45502</v>
      </c>
      <c r="B39" s="4" t="s">
        <v>14</v>
      </c>
      <c r="C39" s="2">
        <v>973</v>
      </c>
      <c r="D39" s="2">
        <v>104</v>
      </c>
      <c r="E39" s="2">
        <v>376358</v>
      </c>
      <c r="F39" s="2">
        <v>3.87</v>
      </c>
      <c r="G39" s="2">
        <v>9847</v>
      </c>
      <c r="H39" s="2">
        <f t="shared" si="4"/>
        <v>869</v>
      </c>
      <c r="I39" s="21">
        <f t="shared" si="5"/>
        <v>0.23089717768720205</v>
      </c>
      <c r="J39" s="33">
        <f t="shared" si="3"/>
        <v>554.25</v>
      </c>
    </row>
    <row r="40" spans="1:10" ht="15.75" customHeight="1">
      <c r="A40" s="4">
        <v>45754</v>
      </c>
      <c r="B40" s="4" t="s">
        <v>14</v>
      </c>
      <c r="C40" s="2">
        <v>1417</v>
      </c>
      <c r="D40" s="2">
        <v>80</v>
      </c>
      <c r="E40" s="2">
        <v>340987</v>
      </c>
      <c r="F40" s="2">
        <v>6.13</v>
      </c>
      <c r="G40" s="2">
        <v>10104</v>
      </c>
      <c r="H40" s="2">
        <f t="shared" si="4"/>
        <v>1337</v>
      </c>
      <c r="I40" s="21">
        <f t="shared" si="5"/>
        <v>0.3920970594186875</v>
      </c>
      <c r="J40" s="33">
        <f t="shared" si="3"/>
        <v>754.5</v>
      </c>
    </row>
    <row r="41" spans="1:10" ht="15.75" customHeight="1">
      <c r="A41" s="4">
        <v>45558</v>
      </c>
      <c r="B41" s="4" t="s">
        <v>24</v>
      </c>
      <c r="C41" s="2">
        <v>1437</v>
      </c>
      <c r="D41" s="2">
        <v>239</v>
      </c>
      <c r="E41" s="2">
        <v>362441</v>
      </c>
      <c r="F41" s="2">
        <v>5.57</v>
      </c>
      <c r="G41" s="2">
        <v>10253</v>
      </c>
      <c r="H41" s="2">
        <f t="shared" si="4"/>
        <v>1198</v>
      </c>
      <c r="I41" s="21">
        <f t="shared" si="5"/>
        <v>0.33053655629467971</v>
      </c>
      <c r="J41" s="33">
        <f t="shared" si="3"/>
        <v>936.25</v>
      </c>
    </row>
    <row r="42" spans="1:10" ht="15.75" customHeight="1">
      <c r="A42" s="4">
        <v>45516</v>
      </c>
      <c r="B42" s="4" t="s">
        <v>24</v>
      </c>
      <c r="C42" s="2">
        <v>1456</v>
      </c>
      <c r="D42" s="2">
        <v>265</v>
      </c>
      <c r="E42" s="2">
        <v>115505</v>
      </c>
      <c r="F42" s="2">
        <v>7.49</v>
      </c>
      <c r="G42" s="2">
        <v>10311</v>
      </c>
      <c r="H42" s="2">
        <f t="shared" si="4"/>
        <v>1191</v>
      </c>
      <c r="I42" s="21">
        <f t="shared" si="5"/>
        <v>1.0311241937578459</v>
      </c>
      <c r="J42" s="33">
        <f t="shared" si="3"/>
        <v>1148.75</v>
      </c>
    </row>
    <row r="43" spans="1:10" ht="15.75" customHeight="1">
      <c r="A43" s="4">
        <v>45768</v>
      </c>
      <c r="B43" s="4" t="s">
        <v>14</v>
      </c>
      <c r="C43" s="2">
        <v>585</v>
      </c>
      <c r="D43" s="2">
        <v>232</v>
      </c>
      <c r="E43" s="2">
        <v>321258</v>
      </c>
      <c r="F43" s="2">
        <v>7.42</v>
      </c>
      <c r="G43" s="2">
        <v>10343</v>
      </c>
      <c r="H43" s="2">
        <f t="shared" si="4"/>
        <v>353</v>
      </c>
      <c r="I43" s="21">
        <f t="shared" si="5"/>
        <v>0.10988053215795404</v>
      </c>
      <c r="J43" s="33">
        <f t="shared" si="3"/>
        <v>1019.75</v>
      </c>
    </row>
    <row r="44" spans="1:10" ht="15.75" customHeight="1">
      <c r="A44" s="4">
        <v>45740</v>
      </c>
      <c r="B44" s="4" t="s">
        <v>14</v>
      </c>
      <c r="C44" s="2">
        <v>818</v>
      </c>
      <c r="D44" s="2">
        <v>253</v>
      </c>
      <c r="E44" s="2">
        <v>184911</v>
      </c>
      <c r="F44" s="2">
        <v>3.39</v>
      </c>
      <c r="G44" s="2">
        <v>10402</v>
      </c>
      <c r="H44" s="2">
        <f t="shared" si="4"/>
        <v>565</v>
      </c>
      <c r="I44" s="21">
        <f t="shared" si="5"/>
        <v>0.30555240088474994</v>
      </c>
      <c r="J44" s="33">
        <f t="shared" si="3"/>
        <v>826.75</v>
      </c>
    </row>
    <row r="45" spans="1:10" ht="15.75" customHeight="1">
      <c r="A45" s="4">
        <v>45488</v>
      </c>
      <c r="B45" s="4" t="s">
        <v>364</v>
      </c>
      <c r="C45" s="2">
        <v>981</v>
      </c>
      <c r="D45" s="2">
        <v>69</v>
      </c>
      <c r="E45" s="2">
        <v>206921</v>
      </c>
      <c r="F45" s="2">
        <v>8.42</v>
      </c>
      <c r="G45" s="2">
        <v>10495</v>
      </c>
      <c r="H45" s="2">
        <f t="shared" si="4"/>
        <v>912</v>
      </c>
      <c r="I45" s="21">
        <f t="shared" si="5"/>
        <v>0.44074791828765564</v>
      </c>
      <c r="J45" s="33">
        <f t="shared" si="3"/>
        <v>755.25</v>
      </c>
    </row>
    <row r="46" spans="1:10" ht="15.75" customHeight="1">
      <c r="A46" s="4">
        <v>45831</v>
      </c>
      <c r="B46" s="4" t="s">
        <v>364</v>
      </c>
      <c r="C46" s="2">
        <v>761</v>
      </c>
      <c r="D46" s="2">
        <v>241</v>
      </c>
      <c r="E46" s="2">
        <v>154977</v>
      </c>
      <c r="F46" s="2">
        <v>5.63</v>
      </c>
      <c r="G46" s="2">
        <v>10563</v>
      </c>
      <c r="H46" s="2">
        <f t="shared" si="4"/>
        <v>520</v>
      </c>
      <c r="I46" s="21">
        <f t="shared" si="5"/>
        <v>0.33553365983339462</v>
      </c>
      <c r="J46" s="33">
        <f t="shared" si="3"/>
        <v>587.5</v>
      </c>
    </row>
    <row r="47" spans="1:10" ht="15.75" customHeight="1">
      <c r="A47" s="4">
        <v>45656</v>
      </c>
      <c r="B47" s="4" t="s">
        <v>14</v>
      </c>
      <c r="C47" s="2">
        <v>664</v>
      </c>
      <c r="D47" s="2">
        <v>251</v>
      </c>
      <c r="E47" s="2">
        <v>240598</v>
      </c>
      <c r="F47" s="2">
        <v>4.79</v>
      </c>
      <c r="G47" s="2">
        <v>10563</v>
      </c>
      <c r="H47" s="2">
        <f t="shared" si="4"/>
        <v>413</v>
      </c>
      <c r="I47" s="21">
        <f t="shared" si="5"/>
        <v>0.17165562473503521</v>
      </c>
      <c r="J47" s="33">
        <f t="shared" si="3"/>
        <v>602.5</v>
      </c>
    </row>
    <row r="48" spans="1:10" ht="15.75" customHeight="1">
      <c r="A48" s="4">
        <v>45824</v>
      </c>
      <c r="B48" s="4" t="s">
        <v>24</v>
      </c>
      <c r="C48" s="2">
        <v>540</v>
      </c>
      <c r="D48" s="2">
        <v>215</v>
      </c>
      <c r="E48" s="2">
        <v>62837</v>
      </c>
      <c r="F48" s="2">
        <v>5.3</v>
      </c>
      <c r="G48" s="2">
        <v>10615</v>
      </c>
      <c r="H48" s="2">
        <f t="shared" si="4"/>
        <v>325</v>
      </c>
      <c r="I48" s="21">
        <f t="shared" si="5"/>
        <v>0.5172111972245651</v>
      </c>
      <c r="J48" s="33">
        <f t="shared" si="3"/>
        <v>542.5</v>
      </c>
    </row>
    <row r="49" spans="1:10" ht="15.75" customHeight="1">
      <c r="A49" s="4">
        <v>45866</v>
      </c>
      <c r="B49" s="4" t="s">
        <v>364</v>
      </c>
      <c r="C49" s="2">
        <v>1490</v>
      </c>
      <c r="D49" s="2">
        <v>103</v>
      </c>
      <c r="E49" s="2">
        <v>81184</v>
      </c>
      <c r="F49" s="2">
        <v>7.79</v>
      </c>
      <c r="G49" s="2">
        <v>10681</v>
      </c>
      <c r="H49" s="2">
        <f t="shared" si="4"/>
        <v>1387</v>
      </c>
      <c r="I49" s="21">
        <f t="shared" si="5"/>
        <v>1.7084647221127316</v>
      </c>
      <c r="J49" s="33">
        <f>AVERAGE(H47:H49)</f>
        <v>708.33333333333337</v>
      </c>
    </row>
    <row r="50" spans="1:10" ht="15.75" customHeight="1">
      <c r="A50" s="4">
        <v>45600</v>
      </c>
      <c r="B50" s="4" t="s">
        <v>364</v>
      </c>
      <c r="C50" s="2">
        <v>1208</v>
      </c>
      <c r="D50" s="2">
        <v>224</v>
      </c>
      <c r="E50" s="2">
        <v>122730</v>
      </c>
      <c r="F50" s="2">
        <v>8.7200000000000006</v>
      </c>
      <c r="G50" s="2">
        <v>10858</v>
      </c>
      <c r="H50" s="2">
        <f t="shared" si="4"/>
        <v>984</v>
      </c>
      <c r="I50" s="21">
        <f t="shared" si="5"/>
        <v>0.80175996088975798</v>
      </c>
      <c r="J50" s="33">
        <f t="shared" ref="J50:J64" si="6">AVERAGE(H47:H50)</f>
        <v>777.25</v>
      </c>
    </row>
    <row r="51" spans="1:10" ht="15.75" customHeight="1">
      <c r="A51" s="4">
        <v>45572</v>
      </c>
      <c r="B51" s="4" t="s">
        <v>364</v>
      </c>
      <c r="C51" s="2">
        <v>1328</v>
      </c>
      <c r="D51" s="2">
        <v>103</v>
      </c>
      <c r="E51" s="2">
        <v>151462</v>
      </c>
      <c r="F51" s="2">
        <v>8.4</v>
      </c>
      <c r="G51" s="2">
        <v>10881</v>
      </c>
      <c r="H51" s="2">
        <f t="shared" si="4"/>
        <v>1225</v>
      </c>
      <c r="I51" s="21">
        <f t="shared" si="5"/>
        <v>0.80878372132944243</v>
      </c>
      <c r="J51" s="33">
        <f t="shared" si="6"/>
        <v>980.25</v>
      </c>
    </row>
    <row r="52" spans="1:10" ht="15.75" customHeight="1">
      <c r="A52" s="4">
        <v>45775</v>
      </c>
      <c r="B52" s="4" t="s">
        <v>24</v>
      </c>
      <c r="C52" s="2">
        <v>751</v>
      </c>
      <c r="D52" s="2">
        <v>170</v>
      </c>
      <c r="E52" s="2">
        <v>283278</v>
      </c>
      <c r="F52" s="2">
        <v>3.49</v>
      </c>
      <c r="G52" s="2">
        <v>11005</v>
      </c>
      <c r="H52" s="2">
        <f t="shared" si="4"/>
        <v>581</v>
      </c>
      <c r="I52" s="21">
        <f t="shared" si="5"/>
        <v>0.20509887813384731</v>
      </c>
      <c r="J52" s="33">
        <f t="shared" si="6"/>
        <v>1044.25</v>
      </c>
    </row>
    <row r="53" spans="1:10" ht="15.75" customHeight="1">
      <c r="A53" s="4">
        <v>45677</v>
      </c>
      <c r="B53" s="4" t="s">
        <v>364</v>
      </c>
      <c r="C53" s="2">
        <v>1105</v>
      </c>
      <c r="D53" s="2">
        <v>261</v>
      </c>
      <c r="E53" s="2">
        <v>333851</v>
      </c>
      <c r="F53" s="2">
        <v>6.03</v>
      </c>
      <c r="G53" s="2">
        <v>11181</v>
      </c>
      <c r="H53" s="2">
        <f t="shared" si="4"/>
        <v>844</v>
      </c>
      <c r="I53" s="21">
        <f t="shared" si="5"/>
        <v>0.2528073901231388</v>
      </c>
      <c r="J53" s="33">
        <f t="shared" si="6"/>
        <v>908.5</v>
      </c>
    </row>
    <row r="54" spans="1:10" ht="15.75" customHeight="1">
      <c r="A54" s="4">
        <v>45698</v>
      </c>
      <c r="B54" s="4" t="s">
        <v>14</v>
      </c>
      <c r="C54" s="2">
        <v>1066</v>
      </c>
      <c r="D54" s="2">
        <v>151</v>
      </c>
      <c r="E54" s="2">
        <v>297090</v>
      </c>
      <c r="F54" s="2">
        <v>8.6300000000000008</v>
      </c>
      <c r="G54" s="2">
        <v>11235</v>
      </c>
      <c r="H54" s="2">
        <f t="shared" si="4"/>
        <v>915</v>
      </c>
      <c r="I54" s="21">
        <f t="shared" si="5"/>
        <v>0.30798747854185599</v>
      </c>
      <c r="J54" s="33">
        <f t="shared" si="6"/>
        <v>891.25</v>
      </c>
    </row>
    <row r="55" spans="1:10" ht="15.75" customHeight="1">
      <c r="A55" s="4">
        <v>45565</v>
      </c>
      <c r="B55" s="4" t="s">
        <v>14</v>
      </c>
      <c r="C55" s="2">
        <v>1416</v>
      </c>
      <c r="D55" s="2">
        <v>284</v>
      </c>
      <c r="E55" s="2">
        <v>374952</v>
      </c>
      <c r="F55" s="2">
        <v>3.45</v>
      </c>
      <c r="G55" s="2">
        <v>11335</v>
      </c>
      <c r="H55" s="2">
        <f t="shared" si="4"/>
        <v>1132</v>
      </c>
      <c r="I55" s="21">
        <f t="shared" si="5"/>
        <v>0.30190531054641656</v>
      </c>
      <c r="J55" s="33">
        <f t="shared" si="6"/>
        <v>868</v>
      </c>
    </row>
    <row r="56" spans="1:10" ht="15.75" customHeight="1">
      <c r="A56" s="4">
        <v>45908</v>
      </c>
      <c r="B56" s="4" t="s">
        <v>24</v>
      </c>
      <c r="C56" s="2">
        <v>860</v>
      </c>
      <c r="D56" s="2">
        <v>244</v>
      </c>
      <c r="E56" s="2">
        <v>348686</v>
      </c>
      <c r="F56" s="2">
        <v>5.12</v>
      </c>
      <c r="G56" s="2">
        <v>11418</v>
      </c>
      <c r="H56" s="2">
        <f t="shared" si="4"/>
        <v>616</v>
      </c>
      <c r="I56" s="21">
        <f t="shared" si="5"/>
        <v>0.17666324429429342</v>
      </c>
      <c r="J56" s="33">
        <f t="shared" si="6"/>
        <v>876.75</v>
      </c>
    </row>
    <row r="57" spans="1:10" ht="15.75" customHeight="1">
      <c r="A57" s="4">
        <v>45502</v>
      </c>
      <c r="B57" s="4" t="s">
        <v>364</v>
      </c>
      <c r="C57" s="2">
        <v>983</v>
      </c>
      <c r="D57" s="2">
        <v>134</v>
      </c>
      <c r="E57" s="2">
        <v>352178</v>
      </c>
      <c r="F57" s="2">
        <v>3.55</v>
      </c>
      <c r="G57" s="2">
        <v>11421</v>
      </c>
      <c r="H57" s="2">
        <f t="shared" si="4"/>
        <v>849</v>
      </c>
      <c r="I57" s="21">
        <f t="shared" si="5"/>
        <v>0.24107127645679174</v>
      </c>
      <c r="J57" s="33">
        <f t="shared" si="6"/>
        <v>878</v>
      </c>
    </row>
    <row r="58" spans="1:10" ht="15.75" customHeight="1">
      <c r="A58" s="4">
        <v>45852</v>
      </c>
      <c r="B58" s="4" t="s">
        <v>364</v>
      </c>
      <c r="C58" s="2">
        <v>1111</v>
      </c>
      <c r="D58" s="2">
        <v>159</v>
      </c>
      <c r="E58" s="2">
        <v>360770</v>
      </c>
      <c r="F58" s="2">
        <v>8.7100000000000009</v>
      </c>
      <c r="G58" s="2">
        <v>11453</v>
      </c>
      <c r="H58" s="2">
        <f t="shared" si="4"/>
        <v>952</v>
      </c>
      <c r="I58" s="21">
        <f t="shared" si="5"/>
        <v>0.26388003437092888</v>
      </c>
      <c r="J58" s="33">
        <f t="shared" si="6"/>
        <v>887.25</v>
      </c>
    </row>
    <row r="59" spans="1:10" ht="15.75" customHeight="1">
      <c r="A59" s="4">
        <v>45894</v>
      </c>
      <c r="B59" s="4" t="s">
        <v>24</v>
      </c>
      <c r="C59" s="2">
        <v>1413</v>
      </c>
      <c r="D59" s="2">
        <v>245</v>
      </c>
      <c r="E59" s="2">
        <v>296450</v>
      </c>
      <c r="F59" s="2">
        <v>6.52</v>
      </c>
      <c r="G59" s="2">
        <v>11625</v>
      </c>
      <c r="H59" s="2">
        <f t="shared" si="4"/>
        <v>1168</v>
      </c>
      <c r="I59" s="21">
        <f t="shared" si="5"/>
        <v>0.39399561477483558</v>
      </c>
      <c r="J59" s="33">
        <f t="shared" si="6"/>
        <v>896.25</v>
      </c>
    </row>
    <row r="60" spans="1:10" ht="15.75" customHeight="1">
      <c r="A60" s="4">
        <v>45481</v>
      </c>
      <c r="B60" s="4" t="s">
        <v>14</v>
      </c>
      <c r="C60" s="2">
        <v>797</v>
      </c>
      <c r="D60" s="2">
        <v>130</v>
      </c>
      <c r="E60" s="2">
        <v>340121</v>
      </c>
      <c r="F60" s="2">
        <v>8.52</v>
      </c>
      <c r="G60" s="2">
        <v>11684</v>
      </c>
      <c r="H60" s="2">
        <f t="shared" si="4"/>
        <v>667</v>
      </c>
      <c r="I60" s="21">
        <f t="shared" si="5"/>
        <v>0.19610667968164272</v>
      </c>
      <c r="J60" s="33">
        <f t="shared" si="6"/>
        <v>909</v>
      </c>
    </row>
    <row r="61" spans="1:10" ht="15.75" customHeight="1">
      <c r="A61" s="4">
        <v>45810</v>
      </c>
      <c r="B61" s="4" t="s">
        <v>24</v>
      </c>
      <c r="C61" s="2">
        <v>1419</v>
      </c>
      <c r="D61" s="2">
        <v>293</v>
      </c>
      <c r="E61" s="2">
        <v>116632</v>
      </c>
      <c r="F61" s="2">
        <v>6.93</v>
      </c>
      <c r="G61" s="2">
        <v>11826</v>
      </c>
      <c r="H61" s="2">
        <f t="shared" si="4"/>
        <v>1126</v>
      </c>
      <c r="I61" s="21">
        <f t="shared" si="5"/>
        <v>0.96542972769051372</v>
      </c>
      <c r="J61" s="33">
        <f t="shared" si="6"/>
        <v>978.25</v>
      </c>
    </row>
    <row r="62" spans="1:10" ht="15.75" customHeight="1">
      <c r="A62" s="4">
        <v>45775</v>
      </c>
      <c r="B62" s="4" t="s">
        <v>14</v>
      </c>
      <c r="C62" s="2">
        <v>1100</v>
      </c>
      <c r="D62" s="2">
        <v>117</v>
      </c>
      <c r="E62" s="2">
        <v>260204</v>
      </c>
      <c r="F62" s="2">
        <v>4.4000000000000004</v>
      </c>
      <c r="G62" s="2">
        <v>11908</v>
      </c>
      <c r="H62" s="2">
        <f t="shared" si="4"/>
        <v>983</v>
      </c>
      <c r="I62" s="21">
        <f t="shared" si="5"/>
        <v>0.37778051067623863</v>
      </c>
      <c r="J62" s="33">
        <f t="shared" si="6"/>
        <v>986</v>
      </c>
    </row>
    <row r="63" spans="1:10" ht="15.75" customHeight="1">
      <c r="A63" s="4">
        <v>45726</v>
      </c>
      <c r="B63" s="4" t="s">
        <v>14</v>
      </c>
      <c r="C63" s="2">
        <v>631</v>
      </c>
      <c r="D63" s="2">
        <v>86</v>
      </c>
      <c r="E63" s="2">
        <v>295090</v>
      </c>
      <c r="F63" s="2">
        <v>7.89</v>
      </c>
      <c r="G63" s="2">
        <v>11911</v>
      </c>
      <c r="H63" s="2">
        <f t="shared" si="4"/>
        <v>545</v>
      </c>
      <c r="I63" s="21">
        <f t="shared" si="5"/>
        <v>0.18468941678809855</v>
      </c>
      <c r="J63" s="33">
        <f t="shared" si="6"/>
        <v>830.25</v>
      </c>
    </row>
    <row r="64" spans="1:10" ht="15.75" customHeight="1">
      <c r="A64" s="4">
        <v>45859</v>
      </c>
      <c r="B64" s="4" t="s">
        <v>24</v>
      </c>
      <c r="C64" s="2">
        <v>754</v>
      </c>
      <c r="D64" s="2">
        <v>150</v>
      </c>
      <c r="E64" s="2">
        <v>189622</v>
      </c>
      <c r="F64" s="2">
        <v>4.25</v>
      </c>
      <c r="G64" s="2">
        <v>11911</v>
      </c>
      <c r="H64" s="2">
        <f t="shared" si="4"/>
        <v>604</v>
      </c>
      <c r="I64" s="21">
        <f t="shared" si="5"/>
        <v>0.31852844079273501</v>
      </c>
      <c r="J64" s="33">
        <f t="shared" si="6"/>
        <v>814.5</v>
      </c>
    </row>
    <row r="65" spans="1:10" ht="15.75" customHeight="1">
      <c r="A65" s="4">
        <v>45453</v>
      </c>
      <c r="B65" s="4" t="s">
        <v>14</v>
      </c>
      <c r="C65" s="2">
        <v>1018</v>
      </c>
      <c r="D65" s="2">
        <v>90</v>
      </c>
      <c r="E65" s="2">
        <v>92474</v>
      </c>
      <c r="F65" s="2">
        <v>9.4</v>
      </c>
      <c r="G65" s="2">
        <v>11966</v>
      </c>
      <c r="H65" s="2">
        <f t="shared" si="4"/>
        <v>928</v>
      </c>
      <c r="I65" s="21">
        <f t="shared" si="5"/>
        <v>1.0035253152237384</v>
      </c>
      <c r="J65" s="33"/>
    </row>
    <row r="66" spans="1:10" ht="15.75" customHeight="1">
      <c r="A66" s="4">
        <v>45663</v>
      </c>
      <c r="B66" s="4" t="s">
        <v>24</v>
      </c>
      <c r="C66" s="2">
        <v>1340</v>
      </c>
      <c r="D66" s="2">
        <v>57</v>
      </c>
      <c r="E66" s="2">
        <v>155927</v>
      </c>
      <c r="F66" s="2">
        <v>7.79</v>
      </c>
      <c r="G66" s="2">
        <v>11972</v>
      </c>
      <c r="H66" s="2">
        <f t="shared" ref="H66:H97" si="7">(C66-D66)</f>
        <v>1283</v>
      </c>
      <c r="I66" s="21">
        <f t="shared" ref="I66:I97" si="8">((C66-D66)/E66)*100</f>
        <v>0.82282093543773693</v>
      </c>
      <c r="J66" s="33">
        <f t="shared" ref="J66:J73" si="9">AVERAGE(H63:H66)</f>
        <v>840</v>
      </c>
    </row>
    <row r="67" spans="1:10" ht="15.75" customHeight="1">
      <c r="A67" s="4">
        <v>45803</v>
      </c>
      <c r="B67" s="4" t="s">
        <v>364</v>
      </c>
      <c r="C67" s="2">
        <v>826</v>
      </c>
      <c r="D67" s="2">
        <v>142</v>
      </c>
      <c r="E67" s="2">
        <v>341016</v>
      </c>
      <c r="F67" s="2">
        <v>7.44</v>
      </c>
      <c r="G67" s="2">
        <v>12031</v>
      </c>
      <c r="H67" s="2">
        <f t="shared" si="7"/>
        <v>684</v>
      </c>
      <c r="I67" s="21">
        <f t="shared" si="8"/>
        <v>0.20057709902174681</v>
      </c>
      <c r="J67" s="33">
        <f t="shared" si="9"/>
        <v>874.75</v>
      </c>
    </row>
    <row r="68" spans="1:10" ht="15.75" customHeight="1">
      <c r="A68" s="4">
        <v>45565</v>
      </c>
      <c r="B68" s="4" t="s">
        <v>24</v>
      </c>
      <c r="C68" s="2">
        <v>998</v>
      </c>
      <c r="D68" s="2">
        <v>154</v>
      </c>
      <c r="E68" s="2">
        <v>179781</v>
      </c>
      <c r="F68" s="2">
        <v>9.58</v>
      </c>
      <c r="G68" s="2">
        <v>12115</v>
      </c>
      <c r="H68" s="2">
        <f t="shared" si="7"/>
        <v>844</v>
      </c>
      <c r="I68" s="21">
        <f t="shared" si="8"/>
        <v>0.46946006530167261</v>
      </c>
      <c r="J68" s="33">
        <f t="shared" si="9"/>
        <v>934.75</v>
      </c>
    </row>
    <row r="69" spans="1:10" ht="15.75" customHeight="1">
      <c r="A69" s="4">
        <v>45845</v>
      </c>
      <c r="B69" s="4" t="s">
        <v>24</v>
      </c>
      <c r="C69" s="2">
        <v>1155</v>
      </c>
      <c r="D69" s="2">
        <v>122</v>
      </c>
      <c r="E69" s="2">
        <v>387352</v>
      </c>
      <c r="F69" s="2">
        <v>9.93</v>
      </c>
      <c r="G69" s="2">
        <v>12170</v>
      </c>
      <c r="H69" s="2">
        <f t="shared" si="7"/>
        <v>1033</v>
      </c>
      <c r="I69" s="21">
        <f t="shared" si="8"/>
        <v>0.26668250067122412</v>
      </c>
      <c r="J69" s="33">
        <f t="shared" si="9"/>
        <v>961</v>
      </c>
    </row>
    <row r="70" spans="1:10" ht="15.75" customHeight="1">
      <c r="A70" s="4">
        <v>45572</v>
      </c>
      <c r="B70" s="4" t="s">
        <v>14</v>
      </c>
      <c r="C70" s="2">
        <v>764</v>
      </c>
      <c r="D70" s="2">
        <v>205</v>
      </c>
      <c r="E70" s="2">
        <v>319294</v>
      </c>
      <c r="F70" s="2">
        <v>6.23</v>
      </c>
      <c r="G70" s="2">
        <v>12181</v>
      </c>
      <c r="H70" s="2">
        <f t="shared" si="7"/>
        <v>559</v>
      </c>
      <c r="I70" s="21">
        <f t="shared" si="8"/>
        <v>0.17507375647522347</v>
      </c>
      <c r="J70" s="33">
        <f t="shared" si="9"/>
        <v>780</v>
      </c>
    </row>
    <row r="71" spans="1:10" ht="15.75" customHeight="1">
      <c r="A71" s="4">
        <v>45474</v>
      </c>
      <c r="B71" s="4" t="s">
        <v>364</v>
      </c>
      <c r="C71" s="2">
        <v>1218</v>
      </c>
      <c r="D71" s="2">
        <v>101</v>
      </c>
      <c r="E71" s="2">
        <v>300397</v>
      </c>
      <c r="F71" s="2">
        <v>4.33</v>
      </c>
      <c r="G71" s="2">
        <v>12277</v>
      </c>
      <c r="H71" s="2">
        <f t="shared" si="7"/>
        <v>1117</v>
      </c>
      <c r="I71" s="21">
        <f t="shared" si="8"/>
        <v>0.37184126339477425</v>
      </c>
      <c r="J71" s="33">
        <f t="shared" si="9"/>
        <v>888.25</v>
      </c>
    </row>
    <row r="72" spans="1:10" ht="15.75" customHeight="1">
      <c r="A72" s="4">
        <v>45859</v>
      </c>
      <c r="B72" s="4" t="s">
        <v>14</v>
      </c>
      <c r="C72" s="2">
        <v>1197</v>
      </c>
      <c r="D72" s="2">
        <v>246</v>
      </c>
      <c r="E72" s="2">
        <v>127273</v>
      </c>
      <c r="F72" s="2">
        <v>6.69</v>
      </c>
      <c r="G72" s="2">
        <v>12323</v>
      </c>
      <c r="H72" s="2">
        <f t="shared" si="7"/>
        <v>951</v>
      </c>
      <c r="I72" s="21">
        <f t="shared" si="8"/>
        <v>0.74721268454424739</v>
      </c>
      <c r="J72" s="33">
        <f t="shared" si="9"/>
        <v>915</v>
      </c>
    </row>
    <row r="73" spans="1:10" ht="15.75" customHeight="1">
      <c r="A73" s="4">
        <v>45488</v>
      </c>
      <c r="B73" s="4" t="s">
        <v>14</v>
      </c>
      <c r="C73" s="2">
        <v>616</v>
      </c>
      <c r="D73" s="2">
        <v>257</v>
      </c>
      <c r="E73" s="2">
        <v>169665</v>
      </c>
      <c r="F73" s="2">
        <v>6.31</v>
      </c>
      <c r="G73" s="2">
        <v>12390</v>
      </c>
      <c r="H73" s="2">
        <f t="shared" si="7"/>
        <v>359</v>
      </c>
      <c r="I73" s="21">
        <f t="shared" si="8"/>
        <v>0.21159343412017798</v>
      </c>
      <c r="J73" s="33">
        <f t="shared" si="9"/>
        <v>746.5</v>
      </c>
    </row>
    <row r="74" spans="1:10" ht="15.75" customHeight="1">
      <c r="A74" s="4">
        <v>45460</v>
      </c>
      <c r="B74" s="4" t="s">
        <v>14</v>
      </c>
      <c r="C74" s="2">
        <v>881</v>
      </c>
      <c r="D74" s="2">
        <v>291</v>
      </c>
      <c r="E74" s="2">
        <v>95885</v>
      </c>
      <c r="F74" s="2">
        <v>5.29</v>
      </c>
      <c r="G74" s="2">
        <v>12391</v>
      </c>
      <c r="H74" s="2">
        <f t="shared" si="7"/>
        <v>590</v>
      </c>
      <c r="I74" s="21">
        <f t="shared" si="8"/>
        <v>0.61532043593888508</v>
      </c>
      <c r="J74" s="33"/>
    </row>
    <row r="75" spans="1:10" ht="15.75" customHeight="1">
      <c r="A75" s="4">
        <v>45467</v>
      </c>
      <c r="B75" s="4" t="s">
        <v>24</v>
      </c>
      <c r="C75" s="2">
        <v>1371</v>
      </c>
      <c r="D75" s="2">
        <v>250</v>
      </c>
      <c r="E75" s="2">
        <v>128620</v>
      </c>
      <c r="F75" s="2">
        <v>7.11</v>
      </c>
      <c r="G75" s="2">
        <v>12399</v>
      </c>
      <c r="H75" s="2">
        <f t="shared" si="7"/>
        <v>1121</v>
      </c>
      <c r="I75" s="21">
        <f t="shared" si="8"/>
        <v>0.87155963302752304</v>
      </c>
      <c r="J75" s="33">
        <f>AVERAGE(H72:H75)</f>
        <v>755.25</v>
      </c>
    </row>
    <row r="76" spans="1:10" ht="15.75" customHeight="1">
      <c r="A76" s="4">
        <v>45810</v>
      </c>
      <c r="B76" s="4" t="s">
        <v>364</v>
      </c>
      <c r="C76" s="2">
        <v>637</v>
      </c>
      <c r="D76" s="2">
        <v>68</v>
      </c>
      <c r="E76" s="2">
        <v>115694</v>
      </c>
      <c r="F76" s="2">
        <v>9.99</v>
      </c>
      <c r="G76" s="2">
        <v>12562</v>
      </c>
      <c r="H76" s="2">
        <f t="shared" si="7"/>
        <v>569</v>
      </c>
      <c r="I76" s="21">
        <f t="shared" si="8"/>
        <v>0.49181461441388491</v>
      </c>
      <c r="J76" s="33">
        <f>AVERAGE(H75:H76)</f>
        <v>845</v>
      </c>
    </row>
    <row r="77" spans="1:10" ht="15.75" customHeight="1">
      <c r="A77" s="4">
        <v>45845</v>
      </c>
      <c r="B77" s="4" t="s">
        <v>14</v>
      </c>
      <c r="C77" s="2">
        <v>974</v>
      </c>
      <c r="D77" s="2">
        <v>143</v>
      </c>
      <c r="E77" s="2">
        <v>247965</v>
      </c>
      <c r="F77" s="2">
        <v>9.98</v>
      </c>
      <c r="G77" s="2">
        <v>12767</v>
      </c>
      <c r="H77" s="2">
        <f t="shared" si="7"/>
        <v>831</v>
      </c>
      <c r="I77" s="21">
        <f t="shared" si="8"/>
        <v>0.3351279414433489</v>
      </c>
      <c r="J77" s="33">
        <f>AVERAGE(H75:H77)</f>
        <v>840.33333333333337</v>
      </c>
    </row>
    <row r="78" spans="1:10" ht="15.75" customHeight="1">
      <c r="A78" s="4">
        <v>45789</v>
      </c>
      <c r="B78" s="4" t="s">
        <v>24</v>
      </c>
      <c r="C78" s="2">
        <v>544</v>
      </c>
      <c r="D78" s="2">
        <v>97</v>
      </c>
      <c r="E78" s="2">
        <v>168375</v>
      </c>
      <c r="F78" s="2">
        <v>8.66</v>
      </c>
      <c r="G78" s="2">
        <v>12774</v>
      </c>
      <c r="H78" s="2">
        <f t="shared" si="7"/>
        <v>447</v>
      </c>
      <c r="I78" s="21">
        <f t="shared" si="8"/>
        <v>0.26547884187082404</v>
      </c>
      <c r="J78" s="33">
        <f t="shared" ref="J78:J96" si="10">AVERAGE(H75:H78)</f>
        <v>742</v>
      </c>
    </row>
    <row r="79" spans="1:10" ht="15.75" customHeight="1">
      <c r="A79" s="4">
        <v>45642</v>
      </c>
      <c r="B79" s="4" t="s">
        <v>24</v>
      </c>
      <c r="C79" s="2">
        <v>632</v>
      </c>
      <c r="D79" s="2">
        <v>155</v>
      </c>
      <c r="E79" s="2">
        <v>170432</v>
      </c>
      <c r="F79" s="2">
        <v>9.17</v>
      </c>
      <c r="G79" s="2">
        <v>12840</v>
      </c>
      <c r="H79" s="2">
        <f t="shared" si="7"/>
        <v>477</v>
      </c>
      <c r="I79" s="21">
        <f t="shared" si="8"/>
        <v>0.27987701840030044</v>
      </c>
      <c r="J79" s="33">
        <f t="shared" si="10"/>
        <v>581</v>
      </c>
    </row>
    <row r="80" spans="1:10" ht="15.75" customHeight="1">
      <c r="A80" s="4">
        <v>45817</v>
      </c>
      <c r="B80" s="4" t="s">
        <v>24</v>
      </c>
      <c r="C80" s="2">
        <v>810</v>
      </c>
      <c r="D80" s="2">
        <v>232</v>
      </c>
      <c r="E80" s="2">
        <v>362559</v>
      </c>
      <c r="F80" s="2">
        <v>5.17</v>
      </c>
      <c r="G80" s="2">
        <v>12937</v>
      </c>
      <c r="H80" s="2">
        <f t="shared" si="7"/>
        <v>578</v>
      </c>
      <c r="I80" s="21">
        <f t="shared" si="8"/>
        <v>0.15942232850377458</v>
      </c>
      <c r="J80" s="33">
        <f t="shared" si="10"/>
        <v>583.25</v>
      </c>
    </row>
    <row r="81" spans="1:10" ht="15.75" customHeight="1">
      <c r="A81" s="4">
        <v>45852</v>
      </c>
      <c r="B81" s="4" t="s">
        <v>14</v>
      </c>
      <c r="C81" s="2">
        <v>1457</v>
      </c>
      <c r="D81" s="2">
        <v>183</v>
      </c>
      <c r="E81" s="2">
        <v>129640</v>
      </c>
      <c r="F81" s="2">
        <v>7.98</v>
      </c>
      <c r="G81" s="2">
        <v>12985</v>
      </c>
      <c r="H81" s="2">
        <f t="shared" si="7"/>
        <v>1274</v>
      </c>
      <c r="I81" s="21">
        <f t="shared" si="8"/>
        <v>0.98272138228941686</v>
      </c>
      <c r="J81" s="33">
        <f t="shared" si="10"/>
        <v>694</v>
      </c>
    </row>
    <row r="82" spans="1:10" ht="15.75" customHeight="1">
      <c r="A82" s="4">
        <v>45817</v>
      </c>
      <c r="B82" s="4" t="s">
        <v>14</v>
      </c>
      <c r="C82" s="2">
        <v>917</v>
      </c>
      <c r="D82" s="2">
        <v>187</v>
      </c>
      <c r="E82" s="2">
        <v>64444</v>
      </c>
      <c r="F82" s="2">
        <v>5.22</v>
      </c>
      <c r="G82" s="2">
        <v>13013</v>
      </c>
      <c r="H82" s="2">
        <f t="shared" si="7"/>
        <v>730</v>
      </c>
      <c r="I82" s="21">
        <f t="shared" si="8"/>
        <v>1.1327664328719507</v>
      </c>
      <c r="J82" s="33">
        <f t="shared" si="10"/>
        <v>764.75</v>
      </c>
    </row>
    <row r="83" spans="1:10" ht="15.75" customHeight="1">
      <c r="A83" s="4">
        <v>45530</v>
      </c>
      <c r="B83" s="4" t="s">
        <v>364</v>
      </c>
      <c r="C83" s="2">
        <v>1456</v>
      </c>
      <c r="D83" s="2">
        <v>290</v>
      </c>
      <c r="E83" s="2">
        <v>271044</v>
      </c>
      <c r="F83" s="2">
        <v>7.17</v>
      </c>
      <c r="G83" s="2">
        <v>13051</v>
      </c>
      <c r="H83" s="2">
        <f t="shared" si="7"/>
        <v>1166</v>
      </c>
      <c r="I83" s="21">
        <f t="shared" si="8"/>
        <v>0.43018845648676968</v>
      </c>
      <c r="J83" s="33">
        <f t="shared" si="10"/>
        <v>937</v>
      </c>
    </row>
    <row r="84" spans="1:10" ht="15.75" customHeight="1">
      <c r="A84" s="4">
        <v>45901</v>
      </c>
      <c r="B84" s="4" t="s">
        <v>24</v>
      </c>
      <c r="C84" s="2">
        <v>572</v>
      </c>
      <c r="D84" s="2">
        <v>270</v>
      </c>
      <c r="E84" s="2">
        <v>82265</v>
      </c>
      <c r="F84" s="2">
        <v>3.65</v>
      </c>
      <c r="G84" s="2">
        <v>13140</v>
      </c>
      <c r="H84" s="2">
        <f t="shared" si="7"/>
        <v>302</v>
      </c>
      <c r="I84" s="21">
        <f t="shared" si="8"/>
        <v>0.36710630280192064</v>
      </c>
      <c r="J84" s="33">
        <f t="shared" si="10"/>
        <v>868</v>
      </c>
    </row>
    <row r="85" spans="1:10" ht="15.75" customHeight="1">
      <c r="A85" s="4">
        <v>45649</v>
      </c>
      <c r="B85" s="4" t="s">
        <v>364</v>
      </c>
      <c r="C85" s="2">
        <v>935</v>
      </c>
      <c r="D85" s="2">
        <v>85</v>
      </c>
      <c r="E85" s="2">
        <v>326821</v>
      </c>
      <c r="F85" s="2">
        <v>8.89</v>
      </c>
      <c r="G85" s="2">
        <v>13301</v>
      </c>
      <c r="H85" s="2">
        <f t="shared" si="7"/>
        <v>850</v>
      </c>
      <c r="I85" s="21">
        <f t="shared" si="8"/>
        <v>0.260081206532016</v>
      </c>
      <c r="J85" s="33">
        <f t="shared" si="10"/>
        <v>762</v>
      </c>
    </row>
    <row r="86" spans="1:10" ht="15.75" customHeight="1">
      <c r="A86" s="4">
        <v>45663</v>
      </c>
      <c r="B86" s="4" t="s">
        <v>364</v>
      </c>
      <c r="C86" s="2">
        <v>953</v>
      </c>
      <c r="D86" s="2">
        <v>228</v>
      </c>
      <c r="E86" s="2">
        <v>258398</v>
      </c>
      <c r="F86" s="2">
        <v>9.0500000000000007</v>
      </c>
      <c r="G86" s="2">
        <v>13314</v>
      </c>
      <c r="H86" s="2">
        <f t="shared" si="7"/>
        <v>725</v>
      </c>
      <c r="I86" s="21">
        <f t="shared" si="8"/>
        <v>0.28057492705051895</v>
      </c>
      <c r="J86" s="33">
        <f t="shared" si="10"/>
        <v>760.75</v>
      </c>
    </row>
    <row r="87" spans="1:10" ht="15.75" customHeight="1">
      <c r="A87" s="4">
        <v>45901</v>
      </c>
      <c r="B87" s="4" t="s">
        <v>14</v>
      </c>
      <c r="C87" s="2">
        <v>1052</v>
      </c>
      <c r="D87" s="2">
        <v>180</v>
      </c>
      <c r="E87" s="2">
        <v>272534</v>
      </c>
      <c r="F87" s="2">
        <v>5.34</v>
      </c>
      <c r="G87" s="2">
        <v>13424</v>
      </c>
      <c r="H87" s="2">
        <f t="shared" si="7"/>
        <v>872</v>
      </c>
      <c r="I87" s="21">
        <f t="shared" si="8"/>
        <v>0.31996007837554213</v>
      </c>
      <c r="J87" s="33">
        <f t="shared" si="10"/>
        <v>687.25</v>
      </c>
    </row>
    <row r="88" spans="1:10" ht="15.75" customHeight="1">
      <c r="A88" s="4">
        <v>45502</v>
      </c>
      <c r="B88" s="4" t="s">
        <v>24</v>
      </c>
      <c r="C88" s="2">
        <v>611</v>
      </c>
      <c r="D88" s="2">
        <v>197</v>
      </c>
      <c r="E88" s="2">
        <v>79423</v>
      </c>
      <c r="F88" s="2">
        <v>5.82</v>
      </c>
      <c r="G88" s="2">
        <v>13644</v>
      </c>
      <c r="H88" s="2">
        <f t="shared" si="7"/>
        <v>414</v>
      </c>
      <c r="I88" s="21">
        <f t="shared" si="8"/>
        <v>0.52125958475504575</v>
      </c>
      <c r="J88" s="33">
        <f t="shared" si="10"/>
        <v>715.25</v>
      </c>
    </row>
    <row r="89" spans="1:10" ht="15.75" customHeight="1">
      <c r="A89" s="4">
        <v>45747</v>
      </c>
      <c r="B89" s="4" t="s">
        <v>24</v>
      </c>
      <c r="C89" s="2">
        <v>1232</v>
      </c>
      <c r="D89" s="2">
        <v>254</v>
      </c>
      <c r="E89" s="2">
        <v>107718</v>
      </c>
      <c r="F89" s="2">
        <v>9.7100000000000009</v>
      </c>
      <c r="G89" s="2">
        <v>13740</v>
      </c>
      <c r="H89" s="2">
        <f t="shared" si="7"/>
        <v>978</v>
      </c>
      <c r="I89" s="21">
        <f t="shared" si="8"/>
        <v>0.90792625187990861</v>
      </c>
      <c r="J89" s="33">
        <f t="shared" si="10"/>
        <v>747.25</v>
      </c>
    </row>
    <row r="90" spans="1:10" ht="15.75" customHeight="1">
      <c r="A90" s="4">
        <v>45782</v>
      </c>
      <c r="B90" s="4" t="s">
        <v>364</v>
      </c>
      <c r="C90" s="2">
        <v>622</v>
      </c>
      <c r="D90" s="2">
        <v>163</v>
      </c>
      <c r="E90" s="2">
        <v>231925</v>
      </c>
      <c r="F90" s="2">
        <v>9.18</v>
      </c>
      <c r="G90" s="2">
        <v>13763</v>
      </c>
      <c r="H90" s="2">
        <f t="shared" si="7"/>
        <v>459</v>
      </c>
      <c r="I90" s="21">
        <f t="shared" si="8"/>
        <v>0.19790880672631239</v>
      </c>
      <c r="J90" s="33">
        <f t="shared" si="10"/>
        <v>680.75</v>
      </c>
    </row>
    <row r="91" spans="1:10" ht="15.75" customHeight="1">
      <c r="A91" s="4">
        <v>45712</v>
      </c>
      <c r="B91" s="4" t="s">
        <v>24</v>
      </c>
      <c r="C91" s="2">
        <v>886</v>
      </c>
      <c r="D91" s="2">
        <v>250</v>
      </c>
      <c r="E91" s="2">
        <v>168170</v>
      </c>
      <c r="F91" s="2">
        <v>4.12</v>
      </c>
      <c r="G91" s="2">
        <v>13883</v>
      </c>
      <c r="H91" s="2">
        <f t="shared" si="7"/>
        <v>636</v>
      </c>
      <c r="I91" s="21">
        <f t="shared" si="8"/>
        <v>0.37818873758696553</v>
      </c>
      <c r="J91" s="33">
        <f t="shared" si="10"/>
        <v>621.75</v>
      </c>
    </row>
    <row r="92" spans="1:10" ht="15.75" customHeight="1">
      <c r="A92" s="4">
        <v>45796</v>
      </c>
      <c r="B92" s="4" t="s">
        <v>14</v>
      </c>
      <c r="C92" s="2">
        <v>1073</v>
      </c>
      <c r="D92" s="2">
        <v>141</v>
      </c>
      <c r="E92" s="2">
        <v>118393</v>
      </c>
      <c r="F92" s="2">
        <v>7.95</v>
      </c>
      <c r="G92" s="2">
        <v>14051</v>
      </c>
      <c r="H92" s="2">
        <f t="shared" si="7"/>
        <v>932</v>
      </c>
      <c r="I92" s="21">
        <f t="shared" si="8"/>
        <v>0.78720870321725112</v>
      </c>
      <c r="J92" s="33">
        <f t="shared" si="10"/>
        <v>751.25</v>
      </c>
    </row>
    <row r="93" spans="1:10" ht="15.75" customHeight="1">
      <c r="A93" s="4">
        <v>45579</v>
      </c>
      <c r="B93" s="4" t="s">
        <v>364</v>
      </c>
      <c r="C93" s="2">
        <v>1457</v>
      </c>
      <c r="D93" s="2">
        <v>215</v>
      </c>
      <c r="E93" s="2">
        <v>325325</v>
      </c>
      <c r="F93" s="2">
        <v>9.58</v>
      </c>
      <c r="G93" s="2">
        <v>14178</v>
      </c>
      <c r="H93" s="2">
        <f t="shared" si="7"/>
        <v>1242</v>
      </c>
      <c r="I93" s="21">
        <f t="shared" si="8"/>
        <v>0.38177207407976638</v>
      </c>
      <c r="J93" s="33">
        <f t="shared" si="10"/>
        <v>817.25</v>
      </c>
    </row>
    <row r="94" spans="1:10" ht="15.75" customHeight="1">
      <c r="A94" s="4">
        <v>45586</v>
      </c>
      <c r="B94" s="4" t="s">
        <v>24</v>
      </c>
      <c r="C94" s="2">
        <v>886</v>
      </c>
      <c r="D94" s="2">
        <v>124</v>
      </c>
      <c r="E94" s="2">
        <v>141161</v>
      </c>
      <c r="F94" s="2">
        <v>8.19</v>
      </c>
      <c r="G94" s="2">
        <v>14215</v>
      </c>
      <c r="H94" s="2">
        <f t="shared" si="7"/>
        <v>762</v>
      </c>
      <c r="I94" s="21">
        <f t="shared" si="8"/>
        <v>0.53980915408646857</v>
      </c>
      <c r="J94" s="33">
        <f t="shared" si="10"/>
        <v>893</v>
      </c>
    </row>
    <row r="95" spans="1:10" ht="15.75" customHeight="1">
      <c r="A95" s="4">
        <v>45537</v>
      </c>
      <c r="B95" s="4" t="s">
        <v>14</v>
      </c>
      <c r="C95" s="2">
        <v>721</v>
      </c>
      <c r="D95" s="2">
        <v>206</v>
      </c>
      <c r="E95" s="2">
        <v>334887</v>
      </c>
      <c r="F95" s="2">
        <v>6.05</v>
      </c>
      <c r="G95" s="2">
        <v>14217</v>
      </c>
      <c r="H95" s="2">
        <f t="shared" si="7"/>
        <v>515</v>
      </c>
      <c r="I95" s="21">
        <f t="shared" si="8"/>
        <v>0.15378321642822804</v>
      </c>
      <c r="J95" s="33">
        <f t="shared" si="10"/>
        <v>862.75</v>
      </c>
    </row>
    <row r="96" spans="1:10" ht="15.75" customHeight="1">
      <c r="A96" s="4">
        <v>45656</v>
      </c>
      <c r="B96" s="4" t="s">
        <v>364</v>
      </c>
      <c r="C96" s="2">
        <v>601</v>
      </c>
      <c r="D96" s="2">
        <v>64</v>
      </c>
      <c r="E96" s="2">
        <v>123272</v>
      </c>
      <c r="F96" s="2">
        <v>4.07</v>
      </c>
      <c r="G96" s="2">
        <v>14273</v>
      </c>
      <c r="H96" s="2">
        <f t="shared" si="7"/>
        <v>537</v>
      </c>
      <c r="I96" s="21">
        <f t="shared" si="8"/>
        <v>0.43562203906807706</v>
      </c>
      <c r="J96" s="33">
        <f t="shared" si="10"/>
        <v>764</v>
      </c>
    </row>
    <row r="97" spans="1:10" ht="15.75" customHeight="1">
      <c r="A97" s="4">
        <v>45481</v>
      </c>
      <c r="B97" s="4" t="s">
        <v>24</v>
      </c>
      <c r="C97" s="2">
        <v>1471</v>
      </c>
      <c r="D97" s="2">
        <v>100</v>
      </c>
      <c r="E97" s="2">
        <v>76866</v>
      </c>
      <c r="F97" s="2">
        <v>8.5500000000000007</v>
      </c>
      <c r="G97" s="2">
        <v>14412</v>
      </c>
      <c r="H97" s="2">
        <f t="shared" si="7"/>
        <v>1371</v>
      </c>
      <c r="I97" s="21">
        <f t="shared" si="8"/>
        <v>1.7836234485988602</v>
      </c>
      <c r="J97" s="33">
        <f>AVERAGE(H96:H97)</f>
        <v>954</v>
      </c>
    </row>
    <row r="98" spans="1:10" ht="15.75" customHeight="1">
      <c r="A98" s="4">
        <v>45880</v>
      </c>
      <c r="B98" s="4" t="s">
        <v>364</v>
      </c>
      <c r="C98" s="2">
        <v>1007</v>
      </c>
      <c r="D98" s="2">
        <v>258</v>
      </c>
      <c r="E98" s="2">
        <v>113412</v>
      </c>
      <c r="F98" s="2">
        <v>7.71</v>
      </c>
      <c r="G98" s="2">
        <v>14475</v>
      </c>
      <c r="H98" s="2">
        <f t="shared" ref="H98:H129" si="11">(C98-D98)</f>
        <v>749</v>
      </c>
      <c r="I98" s="21">
        <f t="shared" ref="I98:I129" si="12">((C98-D98)/E98)*100</f>
        <v>0.6604239410291679</v>
      </c>
      <c r="J98" s="33">
        <f>AVERAGE(H95:H98)</f>
        <v>793</v>
      </c>
    </row>
    <row r="99" spans="1:10" ht="15.75" customHeight="1">
      <c r="A99" s="4">
        <v>45460</v>
      </c>
      <c r="B99" s="4" t="s">
        <v>24</v>
      </c>
      <c r="C99" s="2">
        <v>1414</v>
      </c>
      <c r="D99" s="2">
        <v>131</v>
      </c>
      <c r="E99" s="2">
        <v>245947</v>
      </c>
      <c r="F99" s="2">
        <v>8.3000000000000007</v>
      </c>
      <c r="G99" s="2">
        <v>14477</v>
      </c>
      <c r="H99" s="2">
        <f t="shared" si="11"/>
        <v>1283</v>
      </c>
      <c r="I99" s="21">
        <f t="shared" si="12"/>
        <v>0.52165710498603357</v>
      </c>
      <c r="J99" s="33"/>
    </row>
    <row r="100" spans="1:10" ht="15.75" customHeight="1">
      <c r="A100" s="4">
        <v>45838</v>
      </c>
      <c r="B100" s="4" t="s">
        <v>24</v>
      </c>
      <c r="C100" s="2">
        <v>1349</v>
      </c>
      <c r="D100" s="2">
        <v>115</v>
      </c>
      <c r="E100" s="2">
        <v>102102</v>
      </c>
      <c r="F100" s="2">
        <v>5.28</v>
      </c>
      <c r="G100" s="2">
        <v>14479</v>
      </c>
      <c r="H100" s="2">
        <f t="shared" si="11"/>
        <v>1234</v>
      </c>
      <c r="I100" s="21">
        <f t="shared" si="12"/>
        <v>1.208595326242385</v>
      </c>
      <c r="J100" s="33">
        <f t="shared" ref="J100:J131" si="13">AVERAGE(H97:H100)</f>
        <v>1159.25</v>
      </c>
    </row>
    <row r="101" spans="1:10" ht="15.75" customHeight="1">
      <c r="A101" s="4">
        <v>45628</v>
      </c>
      <c r="B101" s="4" t="s">
        <v>364</v>
      </c>
      <c r="C101" s="2">
        <v>990</v>
      </c>
      <c r="D101" s="2">
        <v>286</v>
      </c>
      <c r="E101" s="2">
        <v>351493</v>
      </c>
      <c r="F101" s="2">
        <v>7.97</v>
      </c>
      <c r="G101" s="2">
        <v>14496</v>
      </c>
      <c r="H101" s="2">
        <f t="shared" si="11"/>
        <v>704</v>
      </c>
      <c r="I101" s="21">
        <f t="shared" si="12"/>
        <v>0.20028848369668811</v>
      </c>
      <c r="J101" s="33">
        <f t="shared" si="13"/>
        <v>992.5</v>
      </c>
    </row>
    <row r="102" spans="1:10" ht="15.75" customHeight="1">
      <c r="A102" s="4">
        <v>45817</v>
      </c>
      <c r="B102" s="4" t="s">
        <v>364</v>
      </c>
      <c r="C102" s="2">
        <v>1183</v>
      </c>
      <c r="D102" s="2">
        <v>248</v>
      </c>
      <c r="E102" s="2">
        <v>226881</v>
      </c>
      <c r="F102" s="2">
        <v>5.17</v>
      </c>
      <c r="G102" s="2">
        <v>14534</v>
      </c>
      <c r="H102" s="2">
        <f t="shared" si="11"/>
        <v>935</v>
      </c>
      <c r="I102" s="21">
        <f t="shared" si="12"/>
        <v>0.41211031333606601</v>
      </c>
      <c r="J102" s="33">
        <f t="shared" si="13"/>
        <v>1039</v>
      </c>
    </row>
    <row r="103" spans="1:10" ht="15.75" customHeight="1">
      <c r="A103" s="4">
        <v>45600</v>
      </c>
      <c r="B103" s="4" t="s">
        <v>14</v>
      </c>
      <c r="C103" s="2">
        <v>1437</v>
      </c>
      <c r="D103" s="2">
        <v>235</v>
      </c>
      <c r="E103" s="2">
        <v>326791</v>
      </c>
      <c r="F103" s="2">
        <v>4.0599999999999996</v>
      </c>
      <c r="G103" s="2">
        <v>14563</v>
      </c>
      <c r="H103" s="2">
        <f t="shared" si="11"/>
        <v>1202</v>
      </c>
      <c r="I103" s="21">
        <f t="shared" si="12"/>
        <v>0.36781918718691764</v>
      </c>
      <c r="J103" s="33">
        <f t="shared" si="13"/>
        <v>1018.75</v>
      </c>
    </row>
    <row r="104" spans="1:10" ht="15.75" customHeight="1">
      <c r="A104" s="4">
        <v>45670</v>
      </c>
      <c r="B104" s="4" t="s">
        <v>14</v>
      </c>
      <c r="C104" s="2">
        <v>532</v>
      </c>
      <c r="D104" s="2">
        <v>65</v>
      </c>
      <c r="E104" s="2">
        <v>338561</v>
      </c>
      <c r="F104" s="2">
        <v>3.5</v>
      </c>
      <c r="G104" s="2">
        <v>14749</v>
      </c>
      <c r="H104" s="2">
        <f t="shared" si="11"/>
        <v>467</v>
      </c>
      <c r="I104" s="21">
        <f t="shared" si="12"/>
        <v>0.137936738135816</v>
      </c>
      <c r="J104" s="33">
        <f t="shared" si="13"/>
        <v>827</v>
      </c>
    </row>
    <row r="105" spans="1:10" ht="15.75" customHeight="1">
      <c r="A105" s="4">
        <v>45705</v>
      </c>
      <c r="B105" s="4" t="s">
        <v>14</v>
      </c>
      <c r="C105" s="2">
        <v>819</v>
      </c>
      <c r="D105" s="2">
        <v>95</v>
      </c>
      <c r="E105" s="2">
        <v>177376</v>
      </c>
      <c r="F105" s="2">
        <v>6.12</v>
      </c>
      <c r="G105" s="2">
        <v>14975</v>
      </c>
      <c r="H105" s="2">
        <f t="shared" si="11"/>
        <v>724</v>
      </c>
      <c r="I105" s="21">
        <f t="shared" si="12"/>
        <v>0.40817246978170663</v>
      </c>
      <c r="J105" s="33">
        <f t="shared" si="13"/>
        <v>832</v>
      </c>
    </row>
    <row r="106" spans="1:10" ht="15.75" customHeight="1">
      <c r="A106" s="4">
        <v>45635</v>
      </c>
      <c r="B106" s="4" t="s">
        <v>24</v>
      </c>
      <c r="C106" s="2">
        <v>599</v>
      </c>
      <c r="D106" s="2">
        <v>194</v>
      </c>
      <c r="E106" s="2">
        <v>105622</v>
      </c>
      <c r="F106" s="2">
        <v>6.44</v>
      </c>
      <c r="G106" s="2">
        <v>15108</v>
      </c>
      <c r="H106" s="2">
        <f t="shared" si="11"/>
        <v>405</v>
      </c>
      <c r="I106" s="21">
        <f t="shared" si="12"/>
        <v>0.38344284334702994</v>
      </c>
      <c r="J106" s="33">
        <f t="shared" si="13"/>
        <v>699.5</v>
      </c>
    </row>
    <row r="107" spans="1:10" ht="15.75" customHeight="1">
      <c r="A107" s="4">
        <v>45810</v>
      </c>
      <c r="B107" s="4" t="s">
        <v>14</v>
      </c>
      <c r="C107" s="2">
        <v>618</v>
      </c>
      <c r="D107" s="2">
        <v>264</v>
      </c>
      <c r="E107" s="2">
        <v>285164</v>
      </c>
      <c r="F107" s="2">
        <v>4.8600000000000003</v>
      </c>
      <c r="G107" s="2">
        <v>15128</v>
      </c>
      <c r="H107" s="2">
        <f t="shared" si="11"/>
        <v>354</v>
      </c>
      <c r="I107" s="21">
        <f t="shared" si="12"/>
        <v>0.12413909189098205</v>
      </c>
      <c r="J107" s="33">
        <f t="shared" si="13"/>
        <v>487.5</v>
      </c>
    </row>
    <row r="108" spans="1:10" ht="15.75" customHeight="1">
      <c r="A108" s="4">
        <v>45887</v>
      </c>
      <c r="B108" s="4" t="s">
        <v>364</v>
      </c>
      <c r="C108" s="2">
        <v>936</v>
      </c>
      <c r="D108" s="2">
        <v>97</v>
      </c>
      <c r="E108" s="2">
        <v>151799</v>
      </c>
      <c r="F108" s="2">
        <v>9.3699999999999992</v>
      </c>
      <c r="G108" s="2">
        <v>15461</v>
      </c>
      <c r="H108" s="2">
        <f t="shared" si="11"/>
        <v>839</v>
      </c>
      <c r="I108" s="21">
        <f t="shared" si="12"/>
        <v>0.55270456327116779</v>
      </c>
      <c r="J108" s="33">
        <f t="shared" si="13"/>
        <v>580.5</v>
      </c>
    </row>
    <row r="109" spans="1:10" ht="15.75" customHeight="1">
      <c r="A109" s="4">
        <v>45495</v>
      </c>
      <c r="B109" s="4" t="s">
        <v>24</v>
      </c>
      <c r="C109" s="2">
        <v>547</v>
      </c>
      <c r="D109" s="2">
        <v>183</v>
      </c>
      <c r="E109" s="2">
        <v>266350</v>
      </c>
      <c r="F109" s="2">
        <v>5.65</v>
      </c>
      <c r="G109" s="2">
        <v>15595</v>
      </c>
      <c r="H109" s="2">
        <f t="shared" si="11"/>
        <v>364</v>
      </c>
      <c r="I109" s="21">
        <f t="shared" si="12"/>
        <v>0.13666228646517742</v>
      </c>
      <c r="J109" s="33">
        <f t="shared" si="13"/>
        <v>490.5</v>
      </c>
    </row>
    <row r="110" spans="1:10" ht="15.75" customHeight="1">
      <c r="A110" s="4">
        <v>45509</v>
      </c>
      <c r="B110" s="4" t="s">
        <v>14</v>
      </c>
      <c r="C110" s="2">
        <v>1449</v>
      </c>
      <c r="D110" s="2">
        <v>96</v>
      </c>
      <c r="E110" s="2">
        <v>200636</v>
      </c>
      <c r="F110" s="2">
        <v>9.92</v>
      </c>
      <c r="G110" s="2">
        <v>15613</v>
      </c>
      <c r="H110" s="2">
        <f t="shared" si="11"/>
        <v>1353</v>
      </c>
      <c r="I110" s="21">
        <f t="shared" si="12"/>
        <v>0.67435554935305719</v>
      </c>
      <c r="J110" s="33">
        <f t="shared" si="13"/>
        <v>727.5</v>
      </c>
    </row>
    <row r="111" spans="1:10" ht="15.75" customHeight="1">
      <c r="A111" s="4">
        <v>45782</v>
      </c>
      <c r="B111" s="4" t="s">
        <v>24</v>
      </c>
      <c r="C111" s="2">
        <v>883</v>
      </c>
      <c r="D111" s="2">
        <v>207</v>
      </c>
      <c r="E111" s="2">
        <v>265019</v>
      </c>
      <c r="F111" s="2">
        <v>6.04</v>
      </c>
      <c r="G111" s="2">
        <v>15655</v>
      </c>
      <c r="H111" s="2">
        <f t="shared" si="11"/>
        <v>676</v>
      </c>
      <c r="I111" s="21">
        <f t="shared" si="12"/>
        <v>0.25507605115104953</v>
      </c>
      <c r="J111" s="33">
        <f t="shared" si="13"/>
        <v>808</v>
      </c>
    </row>
    <row r="112" spans="1:10" ht="15.75" customHeight="1">
      <c r="A112" s="4">
        <v>45803</v>
      </c>
      <c r="B112" s="4" t="s">
        <v>14</v>
      </c>
      <c r="C112" s="2">
        <v>1242</v>
      </c>
      <c r="D112" s="2">
        <v>201</v>
      </c>
      <c r="E112" s="2">
        <v>271935</v>
      </c>
      <c r="F112" s="2">
        <v>5.07</v>
      </c>
      <c r="G112" s="2">
        <v>15773</v>
      </c>
      <c r="H112" s="2">
        <f t="shared" si="11"/>
        <v>1041</v>
      </c>
      <c r="I112" s="21">
        <f t="shared" si="12"/>
        <v>0.3828120690606211</v>
      </c>
      <c r="J112" s="33">
        <f t="shared" si="13"/>
        <v>858.5</v>
      </c>
    </row>
    <row r="113" spans="1:10" ht="15.75" customHeight="1">
      <c r="A113" s="4">
        <v>45838</v>
      </c>
      <c r="B113" s="4" t="s">
        <v>364</v>
      </c>
      <c r="C113" s="2">
        <v>693</v>
      </c>
      <c r="D113" s="2">
        <v>97</v>
      </c>
      <c r="E113" s="2">
        <v>92025</v>
      </c>
      <c r="F113" s="2">
        <v>5.95</v>
      </c>
      <c r="G113" s="2">
        <v>15915</v>
      </c>
      <c r="H113" s="2">
        <f t="shared" si="11"/>
        <v>596</v>
      </c>
      <c r="I113" s="21">
        <f t="shared" si="12"/>
        <v>0.64765009508285798</v>
      </c>
      <c r="J113" s="33">
        <f t="shared" si="13"/>
        <v>916.5</v>
      </c>
    </row>
    <row r="114" spans="1:10" ht="15.75" customHeight="1">
      <c r="A114" s="4">
        <v>45481</v>
      </c>
      <c r="B114" s="4" t="s">
        <v>364</v>
      </c>
      <c r="C114" s="2">
        <v>1253</v>
      </c>
      <c r="D114" s="2">
        <v>136</v>
      </c>
      <c r="E114" s="2">
        <v>193131</v>
      </c>
      <c r="F114" s="2">
        <v>7.99</v>
      </c>
      <c r="G114" s="2">
        <v>15924</v>
      </c>
      <c r="H114" s="2">
        <f t="shared" si="11"/>
        <v>1117</v>
      </c>
      <c r="I114" s="21">
        <f t="shared" si="12"/>
        <v>0.57836390843520724</v>
      </c>
      <c r="J114" s="33">
        <f t="shared" si="13"/>
        <v>857.5</v>
      </c>
    </row>
    <row r="115" spans="1:10" ht="15.75" customHeight="1">
      <c r="A115" s="4">
        <v>45852</v>
      </c>
      <c r="B115" s="4" t="s">
        <v>24</v>
      </c>
      <c r="C115" s="2">
        <v>670</v>
      </c>
      <c r="D115" s="2">
        <v>242</v>
      </c>
      <c r="E115" s="2">
        <v>281913</v>
      </c>
      <c r="F115" s="2">
        <v>9.6199999999999992</v>
      </c>
      <c r="G115" s="2">
        <v>16377</v>
      </c>
      <c r="H115" s="2">
        <f t="shared" si="11"/>
        <v>428</v>
      </c>
      <c r="I115" s="21">
        <f t="shared" si="12"/>
        <v>0.15181988769584942</v>
      </c>
      <c r="J115" s="33">
        <f t="shared" si="13"/>
        <v>795.5</v>
      </c>
    </row>
    <row r="116" spans="1:10" ht="15.75" customHeight="1">
      <c r="A116" s="4">
        <v>45537</v>
      </c>
      <c r="B116" s="4" t="s">
        <v>24</v>
      </c>
      <c r="C116" s="2">
        <v>1098</v>
      </c>
      <c r="D116" s="2">
        <v>142</v>
      </c>
      <c r="E116" s="2">
        <v>359150</v>
      </c>
      <c r="F116" s="2">
        <v>7.51</v>
      </c>
      <c r="G116" s="2">
        <v>16385</v>
      </c>
      <c r="H116" s="2">
        <f t="shared" si="11"/>
        <v>956</v>
      </c>
      <c r="I116" s="21">
        <f t="shared" si="12"/>
        <v>0.26618404566337184</v>
      </c>
      <c r="J116" s="33">
        <f t="shared" si="13"/>
        <v>774.25</v>
      </c>
    </row>
    <row r="117" spans="1:10" ht="15.75" customHeight="1">
      <c r="A117" s="4">
        <v>45544</v>
      </c>
      <c r="B117" s="4" t="s">
        <v>364</v>
      </c>
      <c r="C117" s="2">
        <v>854</v>
      </c>
      <c r="D117" s="2">
        <v>129</v>
      </c>
      <c r="E117" s="2">
        <v>310903</v>
      </c>
      <c r="F117" s="2">
        <v>7.83</v>
      </c>
      <c r="G117" s="2">
        <v>16875</v>
      </c>
      <c r="H117" s="2">
        <f t="shared" si="11"/>
        <v>725</v>
      </c>
      <c r="I117" s="21">
        <f t="shared" si="12"/>
        <v>0.23319170287838972</v>
      </c>
      <c r="J117" s="33">
        <f t="shared" si="13"/>
        <v>806.5</v>
      </c>
    </row>
    <row r="118" spans="1:10" ht="15.75" customHeight="1">
      <c r="A118" s="4">
        <v>45586</v>
      </c>
      <c r="B118" s="4" t="s">
        <v>364</v>
      </c>
      <c r="C118" s="2">
        <v>1237</v>
      </c>
      <c r="D118" s="2">
        <v>155</v>
      </c>
      <c r="E118" s="2">
        <v>149916</v>
      </c>
      <c r="F118" s="2">
        <v>4.4800000000000004</v>
      </c>
      <c r="G118" s="2">
        <v>16921</v>
      </c>
      <c r="H118" s="2">
        <f t="shared" si="11"/>
        <v>1082</v>
      </c>
      <c r="I118" s="21">
        <f t="shared" si="12"/>
        <v>0.72173750633688194</v>
      </c>
      <c r="J118" s="33">
        <f t="shared" si="13"/>
        <v>797.75</v>
      </c>
    </row>
    <row r="119" spans="1:10" ht="15.75" customHeight="1">
      <c r="A119" s="4">
        <v>45887</v>
      </c>
      <c r="B119" s="4" t="s">
        <v>24</v>
      </c>
      <c r="C119" s="2">
        <v>745</v>
      </c>
      <c r="D119" s="2">
        <v>98</v>
      </c>
      <c r="E119" s="2">
        <v>354816</v>
      </c>
      <c r="F119" s="2">
        <v>4.03</v>
      </c>
      <c r="G119" s="2">
        <v>17103</v>
      </c>
      <c r="H119" s="2">
        <f t="shared" si="11"/>
        <v>647</v>
      </c>
      <c r="I119" s="21">
        <f t="shared" si="12"/>
        <v>0.18234803391053389</v>
      </c>
      <c r="J119" s="33">
        <f t="shared" si="13"/>
        <v>852.5</v>
      </c>
    </row>
    <row r="120" spans="1:10" ht="15.75" customHeight="1">
      <c r="A120" s="4">
        <v>45880</v>
      </c>
      <c r="B120" s="4" t="s">
        <v>24</v>
      </c>
      <c r="C120" s="2">
        <v>938</v>
      </c>
      <c r="D120" s="2">
        <v>236</v>
      </c>
      <c r="E120" s="2">
        <v>116472</v>
      </c>
      <c r="F120" s="2">
        <v>8.7200000000000006</v>
      </c>
      <c r="G120" s="2">
        <v>17460</v>
      </c>
      <c r="H120" s="2">
        <f t="shared" si="11"/>
        <v>702</v>
      </c>
      <c r="I120" s="21">
        <f t="shared" si="12"/>
        <v>0.60271996703070263</v>
      </c>
      <c r="J120" s="33">
        <f t="shared" si="13"/>
        <v>789</v>
      </c>
    </row>
    <row r="121" spans="1:10" ht="15.75" customHeight="1">
      <c r="A121" s="4">
        <v>45642</v>
      </c>
      <c r="B121" s="4" t="s">
        <v>14</v>
      </c>
      <c r="C121" s="2">
        <v>1350</v>
      </c>
      <c r="D121" s="2">
        <v>233</v>
      </c>
      <c r="E121" s="2">
        <v>171670</v>
      </c>
      <c r="F121" s="2">
        <v>4.53</v>
      </c>
      <c r="G121" s="2">
        <v>17574</v>
      </c>
      <c r="H121" s="2">
        <f t="shared" si="11"/>
        <v>1117</v>
      </c>
      <c r="I121" s="21">
        <f t="shared" si="12"/>
        <v>0.65066697734024581</v>
      </c>
      <c r="J121" s="33">
        <f t="shared" si="13"/>
        <v>887</v>
      </c>
    </row>
    <row r="122" spans="1:10" ht="15.75" customHeight="1">
      <c r="A122" s="4">
        <v>45607</v>
      </c>
      <c r="B122" s="4" t="s">
        <v>364</v>
      </c>
      <c r="C122" s="2">
        <v>1148</v>
      </c>
      <c r="D122" s="2">
        <v>90</v>
      </c>
      <c r="E122" s="2">
        <v>227249</v>
      </c>
      <c r="F122" s="2">
        <v>7.24</v>
      </c>
      <c r="G122" s="2">
        <v>17662</v>
      </c>
      <c r="H122" s="2">
        <f t="shared" si="11"/>
        <v>1058</v>
      </c>
      <c r="I122" s="21">
        <f t="shared" si="12"/>
        <v>0.46556860536239986</v>
      </c>
      <c r="J122" s="33">
        <f t="shared" si="13"/>
        <v>881</v>
      </c>
    </row>
    <row r="123" spans="1:10" ht="15.75" customHeight="1">
      <c r="A123" s="4">
        <v>45572</v>
      </c>
      <c r="B123" s="4" t="s">
        <v>24</v>
      </c>
      <c r="C123" s="2">
        <v>678</v>
      </c>
      <c r="D123" s="2">
        <v>124</v>
      </c>
      <c r="E123" s="2">
        <v>192022</v>
      </c>
      <c r="F123" s="2">
        <v>8.4499999999999993</v>
      </c>
      <c r="G123" s="2">
        <v>17729</v>
      </c>
      <c r="H123" s="2">
        <f t="shared" si="11"/>
        <v>554</v>
      </c>
      <c r="I123" s="21">
        <f t="shared" si="12"/>
        <v>0.28850860838862213</v>
      </c>
      <c r="J123" s="33">
        <f t="shared" si="13"/>
        <v>857.75</v>
      </c>
    </row>
    <row r="124" spans="1:10" ht="15.75" customHeight="1">
      <c r="A124" s="4">
        <v>45544</v>
      </c>
      <c r="B124" s="4" t="s">
        <v>24</v>
      </c>
      <c r="C124" s="2">
        <v>1430</v>
      </c>
      <c r="D124" s="2">
        <v>162</v>
      </c>
      <c r="E124" s="2">
        <v>269082</v>
      </c>
      <c r="F124" s="2">
        <v>3.4</v>
      </c>
      <c r="G124" s="2">
        <v>18071</v>
      </c>
      <c r="H124" s="2">
        <f t="shared" si="11"/>
        <v>1268</v>
      </c>
      <c r="I124" s="21">
        <f t="shared" si="12"/>
        <v>0.47123181781018425</v>
      </c>
      <c r="J124" s="33">
        <f t="shared" si="13"/>
        <v>999.25</v>
      </c>
    </row>
    <row r="125" spans="1:10" ht="15.75" customHeight="1">
      <c r="A125" s="4">
        <v>45523</v>
      </c>
      <c r="B125" s="4" t="s">
        <v>364</v>
      </c>
      <c r="C125" s="2">
        <v>1240</v>
      </c>
      <c r="D125" s="2">
        <v>231</v>
      </c>
      <c r="E125" s="2">
        <v>165035</v>
      </c>
      <c r="F125" s="2">
        <v>6.05</v>
      </c>
      <c r="G125" s="2">
        <v>18267</v>
      </c>
      <c r="H125" s="2">
        <f t="shared" si="11"/>
        <v>1009</v>
      </c>
      <c r="I125" s="21">
        <f t="shared" si="12"/>
        <v>0.6113854636895204</v>
      </c>
      <c r="J125" s="33">
        <f t="shared" si="13"/>
        <v>972.25</v>
      </c>
    </row>
    <row r="126" spans="1:10" ht="15.75" customHeight="1">
      <c r="A126" s="4">
        <v>45873</v>
      </c>
      <c r="B126" s="4" t="s">
        <v>364</v>
      </c>
      <c r="C126" s="2">
        <v>616</v>
      </c>
      <c r="D126" s="2">
        <v>93</v>
      </c>
      <c r="E126" s="2">
        <v>133082</v>
      </c>
      <c r="F126" s="2">
        <v>8.51</v>
      </c>
      <c r="G126" s="2">
        <v>18303</v>
      </c>
      <c r="H126" s="2">
        <f t="shared" si="11"/>
        <v>523</v>
      </c>
      <c r="I126" s="21">
        <f t="shared" si="12"/>
        <v>0.39299078763469142</v>
      </c>
      <c r="J126" s="33">
        <f t="shared" si="13"/>
        <v>838.5</v>
      </c>
    </row>
    <row r="127" spans="1:10" ht="15.75" customHeight="1">
      <c r="A127" s="4">
        <v>45747</v>
      </c>
      <c r="B127" s="4" t="s">
        <v>364</v>
      </c>
      <c r="C127" s="2">
        <v>1425</v>
      </c>
      <c r="D127" s="2">
        <v>58</v>
      </c>
      <c r="E127" s="2">
        <v>202234</v>
      </c>
      <c r="F127" s="2">
        <v>6.67</v>
      </c>
      <c r="G127" s="2">
        <v>18442</v>
      </c>
      <c r="H127" s="2">
        <f t="shared" si="11"/>
        <v>1367</v>
      </c>
      <c r="I127" s="21">
        <f t="shared" si="12"/>
        <v>0.67594964249334932</v>
      </c>
      <c r="J127" s="33">
        <f t="shared" si="13"/>
        <v>1041.75</v>
      </c>
    </row>
    <row r="128" spans="1:10" ht="15.75" customHeight="1">
      <c r="A128" s="4">
        <v>45579</v>
      </c>
      <c r="B128" s="4" t="s">
        <v>14</v>
      </c>
      <c r="C128" s="2">
        <v>1161</v>
      </c>
      <c r="D128" s="2">
        <v>269</v>
      </c>
      <c r="E128" s="2">
        <v>188193</v>
      </c>
      <c r="F128" s="2">
        <v>7.34</v>
      </c>
      <c r="G128" s="2">
        <v>18576</v>
      </c>
      <c r="H128" s="2">
        <f t="shared" si="11"/>
        <v>892</v>
      </c>
      <c r="I128" s="21">
        <f t="shared" si="12"/>
        <v>0.47398149771776843</v>
      </c>
      <c r="J128" s="33">
        <f t="shared" si="13"/>
        <v>947.75</v>
      </c>
    </row>
    <row r="129" spans="1:10" ht="15.75" customHeight="1">
      <c r="A129" s="4">
        <v>45712</v>
      </c>
      <c r="B129" s="4" t="s">
        <v>364</v>
      </c>
      <c r="C129" s="2">
        <v>978</v>
      </c>
      <c r="D129" s="2">
        <v>279</v>
      </c>
      <c r="E129" s="2">
        <v>368872</v>
      </c>
      <c r="F129" s="2">
        <v>6.82</v>
      </c>
      <c r="G129" s="2">
        <v>18654</v>
      </c>
      <c r="H129" s="2">
        <f t="shared" si="11"/>
        <v>699</v>
      </c>
      <c r="I129" s="21">
        <f t="shared" si="12"/>
        <v>0.18949662755644234</v>
      </c>
      <c r="J129" s="33">
        <f t="shared" si="13"/>
        <v>870.25</v>
      </c>
    </row>
    <row r="130" spans="1:10" ht="15.75" customHeight="1">
      <c r="A130" s="4">
        <v>45635</v>
      </c>
      <c r="B130" s="4" t="s">
        <v>364</v>
      </c>
      <c r="C130" s="2">
        <v>630</v>
      </c>
      <c r="D130" s="2">
        <v>248</v>
      </c>
      <c r="E130" s="2">
        <v>119054</v>
      </c>
      <c r="F130" s="2">
        <v>5.0199999999999996</v>
      </c>
      <c r="G130" s="2">
        <v>18867</v>
      </c>
      <c r="H130" s="2">
        <f t="shared" ref="H130:H161" si="14">(C130-D130)</f>
        <v>382</v>
      </c>
      <c r="I130" s="21">
        <f t="shared" ref="I130:I161" si="15">((C130-D130)/E130)*100</f>
        <v>0.32086280175382598</v>
      </c>
      <c r="J130" s="33">
        <f t="shared" si="13"/>
        <v>835</v>
      </c>
    </row>
    <row r="131" spans="1:10" ht="15.75" customHeight="1">
      <c r="A131" s="4">
        <v>45789</v>
      </c>
      <c r="B131" s="4" t="s">
        <v>364</v>
      </c>
      <c r="C131" s="2">
        <v>624</v>
      </c>
      <c r="D131" s="2">
        <v>247</v>
      </c>
      <c r="E131" s="2">
        <v>252763</v>
      </c>
      <c r="F131" s="2">
        <v>3.89</v>
      </c>
      <c r="G131" s="2">
        <v>19000</v>
      </c>
      <c r="H131" s="2">
        <f t="shared" si="14"/>
        <v>377</v>
      </c>
      <c r="I131" s="21">
        <f t="shared" si="15"/>
        <v>0.1491515767734993</v>
      </c>
      <c r="J131" s="33">
        <f t="shared" si="13"/>
        <v>587.5</v>
      </c>
    </row>
    <row r="132" spans="1:10" ht="15.75" customHeight="1">
      <c r="A132" s="4">
        <v>45747</v>
      </c>
      <c r="B132" s="4" t="s">
        <v>14</v>
      </c>
      <c r="C132" s="2">
        <v>591</v>
      </c>
      <c r="D132" s="2">
        <v>155</v>
      </c>
      <c r="E132" s="2">
        <v>138521</v>
      </c>
      <c r="F132" s="2">
        <v>7.85</v>
      </c>
      <c r="G132" s="2">
        <v>19054</v>
      </c>
      <c r="H132" s="2">
        <f t="shared" si="14"/>
        <v>436</v>
      </c>
      <c r="I132" s="21">
        <f t="shared" si="15"/>
        <v>0.31475371965261584</v>
      </c>
      <c r="J132" s="33">
        <f t="shared" ref="J132:J163" si="16">AVERAGE(H129:H132)</f>
        <v>473.5</v>
      </c>
    </row>
    <row r="133" spans="1:10" ht="15.75" customHeight="1">
      <c r="A133" s="4">
        <v>45474</v>
      </c>
      <c r="B133" s="4" t="s">
        <v>14</v>
      </c>
      <c r="C133" s="2">
        <v>786</v>
      </c>
      <c r="D133" s="2">
        <v>72</v>
      </c>
      <c r="E133" s="2">
        <v>178615</v>
      </c>
      <c r="F133" s="2">
        <v>5.43</v>
      </c>
      <c r="G133" s="2">
        <v>19328</v>
      </c>
      <c r="H133" s="2">
        <f t="shared" si="14"/>
        <v>714</v>
      </c>
      <c r="I133" s="21">
        <f t="shared" si="15"/>
        <v>0.39974246283906723</v>
      </c>
      <c r="J133" s="33">
        <f t="shared" si="16"/>
        <v>477.25</v>
      </c>
    </row>
    <row r="134" spans="1:10" ht="15.75" customHeight="1">
      <c r="A134" s="4">
        <v>45901</v>
      </c>
      <c r="B134" s="4" t="s">
        <v>364</v>
      </c>
      <c r="C134" s="2">
        <v>503</v>
      </c>
      <c r="D134" s="2">
        <v>253</v>
      </c>
      <c r="E134" s="2">
        <v>313562</v>
      </c>
      <c r="F134" s="2">
        <v>4.18</v>
      </c>
      <c r="G134" s="2">
        <v>19538</v>
      </c>
      <c r="H134" s="2">
        <f t="shared" si="14"/>
        <v>250</v>
      </c>
      <c r="I134" s="21">
        <f t="shared" si="15"/>
        <v>7.9729048800556188E-2</v>
      </c>
      <c r="J134" s="33">
        <f t="shared" si="16"/>
        <v>444.25</v>
      </c>
    </row>
    <row r="135" spans="1:10" ht="15.75" customHeight="1">
      <c r="A135" s="4">
        <v>45656</v>
      </c>
      <c r="B135" s="4" t="s">
        <v>24</v>
      </c>
      <c r="C135" s="2">
        <v>1490</v>
      </c>
      <c r="D135" s="2">
        <v>103</v>
      </c>
      <c r="E135" s="2">
        <v>373274</v>
      </c>
      <c r="F135" s="2">
        <v>4.8</v>
      </c>
      <c r="G135" s="2">
        <v>19949</v>
      </c>
      <c r="H135" s="2">
        <f t="shared" si="14"/>
        <v>1387</v>
      </c>
      <c r="I135" s="21">
        <f t="shared" si="15"/>
        <v>0.37157691133055076</v>
      </c>
      <c r="J135" s="33">
        <f t="shared" si="16"/>
        <v>696.75</v>
      </c>
    </row>
    <row r="136" spans="1:10" ht="15.75" customHeight="1">
      <c r="A136" s="4">
        <v>45824</v>
      </c>
      <c r="B136" s="4" t="s">
        <v>364</v>
      </c>
      <c r="C136" s="2">
        <v>1145</v>
      </c>
      <c r="D136" s="2">
        <v>151</v>
      </c>
      <c r="E136" s="2">
        <v>182759</v>
      </c>
      <c r="F136" s="2">
        <v>5.99</v>
      </c>
      <c r="G136" s="2">
        <v>20109</v>
      </c>
      <c r="H136" s="2">
        <f t="shared" si="14"/>
        <v>994</v>
      </c>
      <c r="I136" s="21">
        <f t="shared" si="15"/>
        <v>0.5438856636335283</v>
      </c>
      <c r="J136" s="33">
        <f t="shared" si="16"/>
        <v>836.25</v>
      </c>
    </row>
    <row r="137" spans="1:10" ht="15.75" customHeight="1">
      <c r="A137" s="4">
        <v>45887</v>
      </c>
      <c r="B137" s="4" t="s">
        <v>14</v>
      </c>
      <c r="C137" s="2">
        <v>541</v>
      </c>
      <c r="D137" s="2">
        <v>208</v>
      </c>
      <c r="E137" s="2">
        <v>157547</v>
      </c>
      <c r="F137" s="2">
        <v>8.35</v>
      </c>
      <c r="G137" s="2">
        <v>20162</v>
      </c>
      <c r="H137" s="2">
        <f t="shared" si="14"/>
        <v>333</v>
      </c>
      <c r="I137" s="21">
        <f t="shared" si="15"/>
        <v>0.2113654972801767</v>
      </c>
      <c r="J137" s="33">
        <f t="shared" si="16"/>
        <v>741</v>
      </c>
    </row>
    <row r="138" spans="1:10" ht="15.75" customHeight="1">
      <c r="A138" s="4">
        <v>45551</v>
      </c>
      <c r="B138" s="4" t="s">
        <v>24</v>
      </c>
      <c r="C138" s="2">
        <v>1373</v>
      </c>
      <c r="D138" s="2">
        <v>82</v>
      </c>
      <c r="E138" s="2">
        <v>371015</v>
      </c>
      <c r="F138" s="2">
        <v>9.52</v>
      </c>
      <c r="G138" s="2">
        <v>20306</v>
      </c>
      <c r="H138" s="2">
        <f t="shared" si="14"/>
        <v>1291</v>
      </c>
      <c r="I138" s="21">
        <f t="shared" si="15"/>
        <v>0.34796436801746561</v>
      </c>
      <c r="J138" s="33">
        <f t="shared" si="16"/>
        <v>1001.25</v>
      </c>
    </row>
    <row r="139" spans="1:10" ht="15.75" customHeight="1">
      <c r="A139" s="4">
        <v>45621</v>
      </c>
      <c r="B139" s="4" t="s">
        <v>14</v>
      </c>
      <c r="C139" s="2">
        <v>663</v>
      </c>
      <c r="D139" s="2">
        <v>213</v>
      </c>
      <c r="E139" s="2">
        <v>352677</v>
      </c>
      <c r="F139" s="2">
        <v>9</v>
      </c>
      <c r="G139" s="2">
        <v>20438</v>
      </c>
      <c r="H139" s="2">
        <f t="shared" si="14"/>
        <v>450</v>
      </c>
      <c r="I139" s="21">
        <f t="shared" si="15"/>
        <v>0.1275955052356689</v>
      </c>
      <c r="J139" s="33">
        <f t="shared" si="16"/>
        <v>767</v>
      </c>
    </row>
    <row r="140" spans="1:10" ht="15.75" customHeight="1">
      <c r="A140" s="4">
        <v>45733</v>
      </c>
      <c r="B140" s="4" t="s">
        <v>24</v>
      </c>
      <c r="C140" s="2">
        <v>576</v>
      </c>
      <c r="D140" s="2">
        <v>80</v>
      </c>
      <c r="E140" s="2">
        <v>345688</v>
      </c>
      <c r="F140" s="2">
        <v>4.1100000000000003</v>
      </c>
      <c r="G140" s="2">
        <v>20474</v>
      </c>
      <c r="H140" s="2">
        <f t="shared" si="14"/>
        <v>496</v>
      </c>
      <c r="I140" s="21">
        <f t="shared" si="15"/>
        <v>0.14348198375413668</v>
      </c>
      <c r="J140" s="33">
        <f t="shared" si="16"/>
        <v>642.5</v>
      </c>
    </row>
    <row r="141" spans="1:10" ht="15.75" customHeight="1">
      <c r="A141" s="4">
        <v>45698</v>
      </c>
      <c r="B141" s="4" t="s">
        <v>364</v>
      </c>
      <c r="C141" s="2">
        <v>536</v>
      </c>
      <c r="D141" s="2">
        <v>198</v>
      </c>
      <c r="E141" s="2">
        <v>174610</v>
      </c>
      <c r="F141" s="2">
        <v>7.85</v>
      </c>
      <c r="G141" s="2">
        <v>20572</v>
      </c>
      <c r="H141" s="2">
        <f t="shared" si="14"/>
        <v>338</v>
      </c>
      <c r="I141" s="21">
        <f t="shared" si="15"/>
        <v>0.19357425118836263</v>
      </c>
      <c r="J141" s="33">
        <f t="shared" si="16"/>
        <v>643.75</v>
      </c>
    </row>
    <row r="142" spans="1:10" ht="15.75" customHeight="1">
      <c r="A142" s="4">
        <v>45803</v>
      </c>
      <c r="B142" s="4" t="s">
        <v>24</v>
      </c>
      <c r="C142" s="2">
        <v>1389</v>
      </c>
      <c r="D142" s="2">
        <v>205</v>
      </c>
      <c r="E142" s="2">
        <v>315981</v>
      </c>
      <c r="F142" s="2">
        <v>7.62</v>
      </c>
      <c r="G142" s="2">
        <v>20595</v>
      </c>
      <c r="H142" s="2">
        <f t="shared" si="14"/>
        <v>1184</v>
      </c>
      <c r="I142" s="21">
        <f t="shared" si="15"/>
        <v>0.37470607409939205</v>
      </c>
      <c r="J142" s="33">
        <f t="shared" si="16"/>
        <v>617</v>
      </c>
    </row>
    <row r="143" spans="1:10" ht="15.75" customHeight="1">
      <c r="A143" s="4">
        <v>45642</v>
      </c>
      <c r="B143" s="4" t="s">
        <v>364</v>
      </c>
      <c r="C143" s="2">
        <v>1182</v>
      </c>
      <c r="D143" s="2">
        <v>83</v>
      </c>
      <c r="E143" s="2">
        <v>140300</v>
      </c>
      <c r="F143" s="2">
        <v>3.27</v>
      </c>
      <c r="G143" s="2">
        <v>21079</v>
      </c>
      <c r="H143" s="2">
        <f t="shared" si="14"/>
        <v>1099</v>
      </c>
      <c r="I143" s="21">
        <f t="shared" si="15"/>
        <v>0.78332145402708486</v>
      </c>
      <c r="J143" s="33">
        <f t="shared" si="16"/>
        <v>779.25</v>
      </c>
    </row>
    <row r="144" spans="1:10" ht="15.75" customHeight="1">
      <c r="A144" s="4">
        <v>45474</v>
      </c>
      <c r="B144" s="4" t="s">
        <v>24</v>
      </c>
      <c r="C144" s="2">
        <v>845</v>
      </c>
      <c r="D144" s="2">
        <v>250</v>
      </c>
      <c r="E144" s="2">
        <v>218228</v>
      </c>
      <c r="F144" s="2">
        <v>4.5199999999999996</v>
      </c>
      <c r="G144" s="2">
        <v>21107</v>
      </c>
      <c r="H144" s="2">
        <f t="shared" si="14"/>
        <v>595</v>
      </c>
      <c r="I144" s="21">
        <f t="shared" si="15"/>
        <v>0.27265062228494968</v>
      </c>
      <c r="J144" s="33">
        <f t="shared" si="16"/>
        <v>804</v>
      </c>
    </row>
    <row r="145" spans="1:10" ht="15.75" customHeight="1">
      <c r="A145" s="4">
        <v>45551</v>
      </c>
      <c r="B145" s="4" t="s">
        <v>364</v>
      </c>
      <c r="C145" s="2">
        <v>685</v>
      </c>
      <c r="D145" s="2">
        <v>285</v>
      </c>
      <c r="E145" s="2">
        <v>177452</v>
      </c>
      <c r="F145" s="2">
        <v>3.36</v>
      </c>
      <c r="G145" s="2">
        <v>21134</v>
      </c>
      <c r="H145" s="2">
        <f t="shared" si="14"/>
        <v>400</v>
      </c>
      <c r="I145" s="21">
        <f t="shared" si="15"/>
        <v>0.22541306944976669</v>
      </c>
      <c r="J145" s="33">
        <f t="shared" si="16"/>
        <v>819.5</v>
      </c>
    </row>
    <row r="146" spans="1:10" ht="15.75" customHeight="1">
      <c r="A146" s="4">
        <v>45586</v>
      </c>
      <c r="B146" s="4" t="s">
        <v>14</v>
      </c>
      <c r="C146" s="2">
        <v>1190</v>
      </c>
      <c r="D146" s="2">
        <v>242</v>
      </c>
      <c r="E146" s="2">
        <v>86849</v>
      </c>
      <c r="F146" s="2">
        <v>8.06</v>
      </c>
      <c r="G146" s="2">
        <v>21254</v>
      </c>
      <c r="H146" s="2">
        <f t="shared" si="14"/>
        <v>948</v>
      </c>
      <c r="I146" s="21">
        <f t="shared" si="15"/>
        <v>1.0915497012055406</v>
      </c>
      <c r="J146" s="33">
        <f t="shared" si="16"/>
        <v>760.5</v>
      </c>
    </row>
    <row r="147" spans="1:10" ht="15.75" customHeight="1">
      <c r="A147" s="4">
        <v>45866</v>
      </c>
      <c r="B147" s="4" t="s">
        <v>14</v>
      </c>
      <c r="C147" s="2">
        <v>780</v>
      </c>
      <c r="D147" s="2">
        <v>213</v>
      </c>
      <c r="E147" s="2">
        <v>121431</v>
      </c>
      <c r="F147" s="2">
        <v>4.97</v>
      </c>
      <c r="G147" s="2">
        <v>21464</v>
      </c>
      <c r="H147" s="2">
        <f t="shared" si="14"/>
        <v>567</v>
      </c>
      <c r="I147" s="21">
        <f t="shared" si="15"/>
        <v>0.46693183783383158</v>
      </c>
      <c r="J147" s="33">
        <f t="shared" si="16"/>
        <v>627.5</v>
      </c>
    </row>
    <row r="148" spans="1:10" ht="15.75" customHeight="1">
      <c r="A148" s="4">
        <v>45754</v>
      </c>
      <c r="B148" s="4" t="s">
        <v>24</v>
      </c>
      <c r="C148" s="2">
        <v>1222</v>
      </c>
      <c r="D148" s="2">
        <v>208</v>
      </c>
      <c r="E148" s="2">
        <v>340098</v>
      </c>
      <c r="F148" s="2">
        <v>7.34</v>
      </c>
      <c r="G148" s="2">
        <v>21771</v>
      </c>
      <c r="H148" s="2">
        <f t="shared" si="14"/>
        <v>1014</v>
      </c>
      <c r="I148" s="21">
        <f t="shared" si="15"/>
        <v>0.29814935695005557</v>
      </c>
      <c r="J148" s="33">
        <f t="shared" si="16"/>
        <v>732.25</v>
      </c>
    </row>
    <row r="149" spans="1:10" ht="15.75" customHeight="1">
      <c r="A149" s="4">
        <v>45726</v>
      </c>
      <c r="B149" s="4" t="s">
        <v>24</v>
      </c>
      <c r="C149" s="2">
        <v>1159</v>
      </c>
      <c r="D149" s="2">
        <v>154</v>
      </c>
      <c r="E149" s="2">
        <v>194994</v>
      </c>
      <c r="F149" s="2">
        <v>6.39</v>
      </c>
      <c r="G149" s="2">
        <v>21900</v>
      </c>
      <c r="H149" s="2">
        <f t="shared" si="14"/>
        <v>1005</v>
      </c>
      <c r="I149" s="21">
        <f t="shared" si="15"/>
        <v>0.51540047386073418</v>
      </c>
      <c r="J149" s="33">
        <f t="shared" si="16"/>
        <v>883.5</v>
      </c>
    </row>
    <row r="150" spans="1:10" ht="15.75" customHeight="1">
      <c r="A150" s="4">
        <v>45453</v>
      </c>
      <c r="B150" s="4" t="s">
        <v>364</v>
      </c>
      <c r="C150" s="2">
        <v>545</v>
      </c>
      <c r="D150" s="2">
        <v>93</v>
      </c>
      <c r="E150" s="2">
        <v>391621</v>
      </c>
      <c r="F150" s="2">
        <v>9.9600000000000009</v>
      </c>
      <c r="G150" s="2">
        <v>22029</v>
      </c>
      <c r="H150" s="2">
        <f t="shared" si="14"/>
        <v>452</v>
      </c>
      <c r="I150" s="21">
        <f t="shared" si="15"/>
        <v>0.11541771253329111</v>
      </c>
      <c r="J150" s="33"/>
    </row>
    <row r="151" spans="1:10" ht="15.75" customHeight="1">
      <c r="A151" s="4">
        <v>45894</v>
      </c>
      <c r="B151" s="4" t="s">
        <v>14</v>
      </c>
      <c r="C151" s="2">
        <v>1183</v>
      </c>
      <c r="D151" s="2">
        <v>223</v>
      </c>
      <c r="E151" s="2">
        <v>143811</v>
      </c>
      <c r="F151" s="2">
        <v>6.07</v>
      </c>
      <c r="G151" s="2">
        <v>22103</v>
      </c>
      <c r="H151" s="2">
        <f t="shared" si="14"/>
        <v>960</v>
      </c>
      <c r="I151" s="21">
        <f t="shared" si="15"/>
        <v>0.66754281661347181</v>
      </c>
      <c r="J151" s="33">
        <f t="shared" ref="J151:J157" si="17">AVERAGE(H148:H151)</f>
        <v>857.75</v>
      </c>
    </row>
    <row r="152" spans="1:10" ht="15.75" customHeight="1">
      <c r="A152" s="4">
        <v>45754</v>
      </c>
      <c r="B152" s="4" t="s">
        <v>364</v>
      </c>
      <c r="C152" s="2">
        <v>1071</v>
      </c>
      <c r="D152" s="2">
        <v>131</v>
      </c>
      <c r="E152" s="2">
        <v>254727</v>
      </c>
      <c r="F152" s="2">
        <v>6.87</v>
      </c>
      <c r="G152" s="2">
        <v>22191</v>
      </c>
      <c r="H152" s="2">
        <f t="shared" si="14"/>
        <v>940</v>
      </c>
      <c r="I152" s="21">
        <f t="shared" si="15"/>
        <v>0.36902252215116577</v>
      </c>
      <c r="J152" s="33">
        <f t="shared" si="17"/>
        <v>839.25</v>
      </c>
    </row>
    <row r="153" spans="1:10" ht="15.75" customHeight="1">
      <c r="A153" s="4">
        <v>45705</v>
      </c>
      <c r="B153" s="4" t="s">
        <v>24</v>
      </c>
      <c r="C153" s="2">
        <v>681</v>
      </c>
      <c r="D153" s="2">
        <v>218</v>
      </c>
      <c r="E153" s="2">
        <v>198882</v>
      </c>
      <c r="F153" s="2">
        <v>7.16</v>
      </c>
      <c r="G153" s="2">
        <v>22234</v>
      </c>
      <c r="H153" s="2">
        <f t="shared" si="14"/>
        <v>463</v>
      </c>
      <c r="I153" s="21">
        <f t="shared" si="15"/>
        <v>0.23280135960016493</v>
      </c>
      <c r="J153" s="33">
        <f t="shared" si="17"/>
        <v>703.75</v>
      </c>
    </row>
    <row r="154" spans="1:10" ht="15.75" customHeight="1">
      <c r="A154" s="4">
        <v>45684</v>
      </c>
      <c r="B154" s="4" t="s">
        <v>364</v>
      </c>
      <c r="C154" s="2">
        <v>819</v>
      </c>
      <c r="D154" s="2">
        <v>101</v>
      </c>
      <c r="E154" s="2">
        <v>194811</v>
      </c>
      <c r="F154" s="2">
        <v>3.35</v>
      </c>
      <c r="G154" s="2">
        <v>22244</v>
      </c>
      <c r="H154" s="2">
        <f t="shared" si="14"/>
        <v>718</v>
      </c>
      <c r="I154" s="21">
        <f t="shared" si="15"/>
        <v>0.36856235017529809</v>
      </c>
      <c r="J154" s="33">
        <f t="shared" si="17"/>
        <v>770.25</v>
      </c>
    </row>
    <row r="155" spans="1:10" ht="15.75" customHeight="1">
      <c r="A155" s="4">
        <v>45719</v>
      </c>
      <c r="B155" s="4" t="s">
        <v>364</v>
      </c>
      <c r="C155" s="2">
        <v>665</v>
      </c>
      <c r="D155" s="2">
        <v>187</v>
      </c>
      <c r="E155" s="2">
        <v>274567</v>
      </c>
      <c r="F155" s="2">
        <v>7.39</v>
      </c>
      <c r="G155" s="2">
        <v>22428</v>
      </c>
      <c r="H155" s="2">
        <f t="shared" si="14"/>
        <v>478</v>
      </c>
      <c r="I155" s="21">
        <f t="shared" si="15"/>
        <v>0.17409229805475532</v>
      </c>
      <c r="J155" s="33">
        <f t="shared" si="17"/>
        <v>649.75</v>
      </c>
    </row>
    <row r="156" spans="1:10" ht="15.75" customHeight="1">
      <c r="A156" s="4">
        <v>45467</v>
      </c>
      <c r="B156" s="4" t="s">
        <v>364</v>
      </c>
      <c r="C156" s="2">
        <v>844</v>
      </c>
      <c r="D156" s="2">
        <v>144</v>
      </c>
      <c r="E156" s="2">
        <v>126015</v>
      </c>
      <c r="F156" s="2">
        <v>9.65</v>
      </c>
      <c r="G156" s="2">
        <v>22456</v>
      </c>
      <c r="H156" s="2">
        <f t="shared" si="14"/>
        <v>700</v>
      </c>
      <c r="I156" s="21">
        <f t="shared" si="15"/>
        <v>0.55548942586200056</v>
      </c>
      <c r="J156" s="33">
        <f t="shared" si="17"/>
        <v>589.75</v>
      </c>
    </row>
    <row r="157" spans="1:10" ht="15.75" customHeight="1">
      <c r="A157" s="4">
        <v>45467</v>
      </c>
      <c r="B157" s="4" t="s">
        <v>14</v>
      </c>
      <c r="C157" s="2">
        <v>809</v>
      </c>
      <c r="D157" s="2">
        <v>197</v>
      </c>
      <c r="E157" s="2">
        <v>87186</v>
      </c>
      <c r="F157" s="2">
        <v>9.48</v>
      </c>
      <c r="G157" s="2">
        <v>22619</v>
      </c>
      <c r="H157" s="2">
        <f t="shared" si="14"/>
        <v>612</v>
      </c>
      <c r="I157" s="21">
        <f t="shared" si="15"/>
        <v>0.70194756038813566</v>
      </c>
      <c r="J157" s="33">
        <f t="shared" si="17"/>
        <v>627</v>
      </c>
    </row>
    <row r="158" spans="1:10" ht="15.75" customHeight="1">
      <c r="A158" s="4">
        <v>45446</v>
      </c>
      <c r="B158" s="4" t="s">
        <v>24</v>
      </c>
      <c r="C158" s="2">
        <v>995</v>
      </c>
      <c r="D158" s="2">
        <v>86</v>
      </c>
      <c r="E158" s="2">
        <v>227958</v>
      </c>
      <c r="F158" s="2">
        <v>8.0500000000000007</v>
      </c>
      <c r="G158" s="2">
        <v>22788</v>
      </c>
      <c r="H158" s="2">
        <f t="shared" si="14"/>
        <v>909</v>
      </c>
      <c r="I158" s="21">
        <f t="shared" si="15"/>
        <v>0.39875766588582107</v>
      </c>
      <c r="J158" s="33"/>
    </row>
    <row r="159" spans="1:10" ht="15.75" customHeight="1">
      <c r="A159" s="4">
        <v>45446</v>
      </c>
      <c r="B159" s="4" t="s">
        <v>14</v>
      </c>
      <c r="C159" s="2">
        <v>1402</v>
      </c>
      <c r="D159" s="2">
        <v>68</v>
      </c>
      <c r="E159" s="2">
        <v>124562</v>
      </c>
      <c r="F159" s="2">
        <v>9.92</v>
      </c>
      <c r="G159" s="2">
        <v>23125</v>
      </c>
      <c r="H159" s="2">
        <f t="shared" si="14"/>
        <v>1334</v>
      </c>
      <c r="I159" s="21">
        <f t="shared" si="15"/>
        <v>1.0709526179733788</v>
      </c>
      <c r="J159" s="33"/>
    </row>
    <row r="160" spans="1:10" ht="15.75" customHeight="1">
      <c r="A160" s="4">
        <v>45628</v>
      </c>
      <c r="B160" s="4" t="s">
        <v>14</v>
      </c>
      <c r="C160" s="2">
        <v>895</v>
      </c>
      <c r="D160" s="2">
        <v>87</v>
      </c>
      <c r="E160" s="2">
        <v>171271</v>
      </c>
      <c r="F160" s="2">
        <v>6.68</v>
      </c>
      <c r="G160" s="2">
        <v>23329</v>
      </c>
      <c r="H160" s="2">
        <f t="shared" si="14"/>
        <v>808</v>
      </c>
      <c r="I160" s="21">
        <f t="shared" si="15"/>
        <v>0.47176696580273364</v>
      </c>
      <c r="J160" s="33">
        <f>AVERAGE(H157:H160)</f>
        <v>915.75</v>
      </c>
    </row>
    <row r="161" spans="1:10" ht="15.75" customHeight="1">
      <c r="A161" s="4">
        <v>45649</v>
      </c>
      <c r="B161" s="4" t="s">
        <v>14</v>
      </c>
      <c r="C161" s="2">
        <v>661</v>
      </c>
      <c r="D161" s="2">
        <v>94</v>
      </c>
      <c r="E161" s="2">
        <v>116538</v>
      </c>
      <c r="F161" s="2">
        <v>5.31</v>
      </c>
      <c r="G161" s="2">
        <v>23486</v>
      </c>
      <c r="H161" s="2">
        <f t="shared" si="14"/>
        <v>567</v>
      </c>
      <c r="I161" s="21">
        <f t="shared" si="15"/>
        <v>0.48653658034289238</v>
      </c>
      <c r="J161" s="33">
        <f>AVERAGE(H158:H161)</f>
        <v>904.5</v>
      </c>
    </row>
    <row r="162" spans="1:10" ht="15.75" customHeight="1">
      <c r="A162" s="4">
        <v>45761</v>
      </c>
      <c r="B162" s="4" t="s">
        <v>24</v>
      </c>
      <c r="C162" s="2">
        <v>1472</v>
      </c>
      <c r="D162" s="2">
        <v>137</v>
      </c>
      <c r="E162" s="2">
        <v>213950</v>
      </c>
      <c r="F162" s="2">
        <v>6.96</v>
      </c>
      <c r="G162" s="2">
        <v>23736</v>
      </c>
      <c r="H162" s="2">
        <f t="shared" ref="H162:H193" si="18">(C162-D162)</f>
        <v>1335</v>
      </c>
      <c r="I162" s="21">
        <f t="shared" ref="I162:I193" si="19">((C162-D162)/E162)*100</f>
        <v>0.62397756485160083</v>
      </c>
      <c r="J162" s="33">
        <f>AVERAGE(H159:H162)</f>
        <v>1011</v>
      </c>
    </row>
    <row r="163" spans="1:10" ht="15.75" customHeight="1">
      <c r="A163" s="4">
        <v>45509</v>
      </c>
      <c r="B163" s="4" t="s">
        <v>24</v>
      </c>
      <c r="C163" s="2">
        <v>752</v>
      </c>
      <c r="D163" s="2">
        <v>170</v>
      </c>
      <c r="E163" s="2">
        <v>132756</v>
      </c>
      <c r="F163" s="2">
        <v>8.17</v>
      </c>
      <c r="G163" s="2">
        <v>23900</v>
      </c>
      <c r="H163" s="2">
        <f t="shared" si="18"/>
        <v>582</v>
      </c>
      <c r="I163" s="21">
        <f t="shared" si="19"/>
        <v>0.43839826448522107</v>
      </c>
      <c r="J163" s="33">
        <f>AVERAGE(H160:H163)</f>
        <v>823</v>
      </c>
    </row>
    <row r="164" spans="1:10" ht="15.75" customHeight="1">
      <c r="A164" s="4">
        <v>45558</v>
      </c>
      <c r="B164" s="4" t="s">
        <v>364</v>
      </c>
      <c r="C164" s="2">
        <v>769</v>
      </c>
      <c r="D164" s="2">
        <v>295</v>
      </c>
      <c r="E164" s="2">
        <v>344771</v>
      </c>
      <c r="F164" s="2">
        <v>8.06</v>
      </c>
      <c r="G164" s="2">
        <v>23963</v>
      </c>
      <c r="H164" s="2">
        <f t="shared" si="18"/>
        <v>474</v>
      </c>
      <c r="I164" s="21">
        <f t="shared" si="19"/>
        <v>0.13748256088824176</v>
      </c>
      <c r="J164" s="33">
        <f>AVERAGE(H161:H164)</f>
        <v>739.5</v>
      </c>
    </row>
    <row r="165" spans="1:10" ht="15.75" customHeight="1">
      <c r="A165" s="4">
        <v>45691</v>
      </c>
      <c r="B165" s="4" t="s">
        <v>24</v>
      </c>
      <c r="C165" s="2">
        <v>681</v>
      </c>
      <c r="D165" s="2">
        <v>158</v>
      </c>
      <c r="E165" s="2">
        <v>75960</v>
      </c>
      <c r="F165" s="2">
        <v>3.13</v>
      </c>
      <c r="G165" s="2">
        <v>24112</v>
      </c>
      <c r="H165" s="2">
        <f t="shared" si="18"/>
        <v>523</v>
      </c>
      <c r="I165" s="21">
        <f t="shared" si="19"/>
        <v>0.6885202738283307</v>
      </c>
      <c r="J165" s="33">
        <f>AVERAGE(H163:H165)</f>
        <v>526.33333333333337</v>
      </c>
    </row>
    <row r="166" spans="1:10" ht="15.75" customHeight="1">
      <c r="A166" s="4">
        <v>45565</v>
      </c>
      <c r="B166" s="4" t="s">
        <v>364</v>
      </c>
      <c r="C166" s="2">
        <v>1421</v>
      </c>
      <c r="D166" s="2">
        <v>246</v>
      </c>
      <c r="E166" s="2">
        <v>358581</v>
      </c>
      <c r="F166" s="2">
        <v>8.8800000000000008</v>
      </c>
      <c r="G166" s="2">
        <v>24358</v>
      </c>
      <c r="H166" s="2">
        <f t="shared" si="18"/>
        <v>1175</v>
      </c>
      <c r="I166" s="21">
        <f t="shared" si="19"/>
        <v>0.3276804961779905</v>
      </c>
      <c r="J166" s="33">
        <f t="shared" ref="J166:J172" si="20">AVERAGE(H163:H166)</f>
        <v>688.5</v>
      </c>
    </row>
    <row r="167" spans="1:10" ht="15.75" customHeight="1">
      <c r="A167" s="4">
        <v>45537</v>
      </c>
      <c r="B167" s="4" t="s">
        <v>364</v>
      </c>
      <c r="C167" s="2">
        <v>1096</v>
      </c>
      <c r="D167" s="2">
        <v>65</v>
      </c>
      <c r="E167" s="2">
        <v>358295</v>
      </c>
      <c r="F167" s="2">
        <v>7.66</v>
      </c>
      <c r="G167" s="2">
        <v>24548</v>
      </c>
      <c r="H167" s="2">
        <f t="shared" si="18"/>
        <v>1031</v>
      </c>
      <c r="I167" s="21">
        <f t="shared" si="19"/>
        <v>0.28775171297394603</v>
      </c>
      <c r="J167" s="33">
        <f t="shared" si="20"/>
        <v>800.75</v>
      </c>
    </row>
    <row r="168" spans="1:10" ht="15.75" customHeight="1">
      <c r="A168" s="4">
        <v>45495</v>
      </c>
      <c r="B168" s="4" t="s">
        <v>364</v>
      </c>
      <c r="C168" s="2">
        <v>1241</v>
      </c>
      <c r="D168" s="2">
        <v>116</v>
      </c>
      <c r="E168" s="2">
        <v>380606</v>
      </c>
      <c r="F168" s="2">
        <v>4.2</v>
      </c>
      <c r="G168" s="2">
        <v>24617</v>
      </c>
      <c r="H168" s="2">
        <f t="shared" si="18"/>
        <v>1125</v>
      </c>
      <c r="I168" s="21">
        <f t="shared" si="19"/>
        <v>0.29558125725816198</v>
      </c>
      <c r="J168" s="33">
        <f t="shared" si="20"/>
        <v>963.5</v>
      </c>
    </row>
    <row r="169" spans="1:10" ht="15.75" customHeight="1">
      <c r="A169" s="4">
        <v>45768</v>
      </c>
      <c r="B169" s="4" t="s">
        <v>364</v>
      </c>
      <c r="C169" s="2">
        <v>1113</v>
      </c>
      <c r="D169" s="2">
        <v>224</v>
      </c>
      <c r="E169" s="2">
        <v>272989</v>
      </c>
      <c r="F169" s="2">
        <v>5.13</v>
      </c>
      <c r="G169" s="2">
        <v>24827</v>
      </c>
      <c r="H169" s="2">
        <f t="shared" si="18"/>
        <v>889</v>
      </c>
      <c r="I169" s="21">
        <f t="shared" si="19"/>
        <v>0.32565414723670183</v>
      </c>
      <c r="J169" s="33">
        <f t="shared" si="20"/>
        <v>1055</v>
      </c>
    </row>
    <row r="170" spans="1:10" ht="15.75" customHeight="1">
      <c r="A170" s="4">
        <v>45712</v>
      </c>
      <c r="B170" s="4" t="s">
        <v>14</v>
      </c>
      <c r="C170" s="2">
        <v>645</v>
      </c>
      <c r="D170" s="2">
        <v>267</v>
      </c>
      <c r="E170" s="2">
        <v>346890</v>
      </c>
      <c r="F170" s="2">
        <v>3.71</v>
      </c>
      <c r="G170" s="2">
        <v>24858</v>
      </c>
      <c r="H170" s="2">
        <f t="shared" si="18"/>
        <v>378</v>
      </c>
      <c r="I170" s="21">
        <f t="shared" si="19"/>
        <v>0.10896826083196401</v>
      </c>
      <c r="J170" s="33">
        <f t="shared" si="20"/>
        <v>855.75</v>
      </c>
    </row>
    <row r="171" spans="1:10" ht="15.75" customHeight="1">
      <c r="A171" s="4">
        <v>45593</v>
      </c>
      <c r="B171" s="4" t="s">
        <v>364</v>
      </c>
      <c r="C171" s="2">
        <v>759</v>
      </c>
      <c r="D171" s="2">
        <v>216</v>
      </c>
      <c r="E171" s="2">
        <v>147656</v>
      </c>
      <c r="F171" s="2">
        <v>4.08</v>
      </c>
      <c r="G171" s="2">
        <v>24943</v>
      </c>
      <c r="H171" s="2">
        <f t="shared" si="18"/>
        <v>543</v>
      </c>
      <c r="I171" s="21">
        <f t="shared" si="19"/>
        <v>0.36774665438586984</v>
      </c>
      <c r="J171" s="33">
        <f t="shared" si="20"/>
        <v>733.75</v>
      </c>
    </row>
    <row r="172" spans="1:10" ht="15.75" customHeight="1">
      <c r="A172" s="4">
        <v>45607</v>
      </c>
      <c r="B172" s="4" t="s">
        <v>14</v>
      </c>
      <c r="C172" s="2">
        <v>1391</v>
      </c>
      <c r="D172" s="2">
        <v>187</v>
      </c>
      <c r="E172" s="2">
        <v>306508</v>
      </c>
      <c r="F172" s="2">
        <v>8.3800000000000008</v>
      </c>
      <c r="G172" s="2">
        <v>25038</v>
      </c>
      <c r="H172" s="2">
        <f t="shared" si="18"/>
        <v>1204</v>
      </c>
      <c r="I172" s="21">
        <f t="shared" si="19"/>
        <v>0.39281193313061974</v>
      </c>
      <c r="J172" s="33">
        <f t="shared" si="20"/>
        <v>753.5</v>
      </c>
    </row>
    <row r="173" spans="1:10" ht="15.75" customHeight="1">
      <c r="A173" s="4">
        <v>45460</v>
      </c>
      <c r="B173" s="4" t="s">
        <v>364</v>
      </c>
      <c r="C173" s="2">
        <v>1472</v>
      </c>
      <c r="D173" s="2">
        <v>170</v>
      </c>
      <c r="E173" s="2">
        <v>250428</v>
      </c>
      <c r="F173" s="2">
        <v>4.66</v>
      </c>
      <c r="G173" s="2">
        <v>25040</v>
      </c>
      <c r="H173" s="2">
        <f t="shared" si="18"/>
        <v>1302</v>
      </c>
      <c r="I173" s="21">
        <f t="shared" si="19"/>
        <v>0.51990991422684363</v>
      </c>
      <c r="J173" s="33"/>
    </row>
    <row r="174" spans="1:10" ht="15.75" customHeight="1">
      <c r="A174" s="4">
        <v>45873</v>
      </c>
      <c r="B174" s="4" t="s">
        <v>24</v>
      </c>
      <c r="C174" s="2">
        <v>640</v>
      </c>
      <c r="D174" s="2">
        <v>141</v>
      </c>
      <c r="E174" s="2">
        <v>267546</v>
      </c>
      <c r="F174" s="2">
        <v>8.58</v>
      </c>
      <c r="G174" s="2">
        <v>25058</v>
      </c>
      <c r="H174" s="2">
        <f t="shared" si="18"/>
        <v>499</v>
      </c>
      <c r="I174" s="21">
        <f t="shared" si="19"/>
        <v>0.18650998332996943</v>
      </c>
      <c r="J174" s="33">
        <f t="shared" ref="J174:J186" si="21">AVERAGE(H171:H174)</f>
        <v>887</v>
      </c>
    </row>
    <row r="175" spans="1:10" ht="15.75" customHeight="1">
      <c r="A175" s="4">
        <v>45593</v>
      </c>
      <c r="B175" s="4" t="s">
        <v>14</v>
      </c>
      <c r="C175" s="2">
        <v>1435</v>
      </c>
      <c r="D175" s="2">
        <v>261</v>
      </c>
      <c r="E175" s="2">
        <v>308533</v>
      </c>
      <c r="F175" s="2">
        <v>4.5199999999999996</v>
      </c>
      <c r="G175" s="2">
        <v>25130</v>
      </c>
      <c r="H175" s="2">
        <f t="shared" si="18"/>
        <v>1174</v>
      </c>
      <c r="I175" s="21">
        <f t="shared" si="19"/>
        <v>0.38051035059458793</v>
      </c>
      <c r="J175" s="33">
        <f t="shared" si="21"/>
        <v>1044.75</v>
      </c>
    </row>
    <row r="176" spans="1:10" ht="15.75" customHeight="1">
      <c r="A176" s="4">
        <v>45719</v>
      </c>
      <c r="B176" s="4" t="s">
        <v>14</v>
      </c>
      <c r="C176" s="2">
        <v>1444</v>
      </c>
      <c r="D176" s="2">
        <v>165</v>
      </c>
      <c r="E176" s="2">
        <v>116436</v>
      </c>
      <c r="F176" s="2">
        <v>8.2200000000000006</v>
      </c>
      <c r="G176" s="2">
        <v>25234</v>
      </c>
      <c r="H176" s="2">
        <f t="shared" si="18"/>
        <v>1279</v>
      </c>
      <c r="I176" s="21">
        <f t="shared" si="19"/>
        <v>1.0984575217286749</v>
      </c>
      <c r="J176" s="33">
        <f t="shared" si="21"/>
        <v>1063.5</v>
      </c>
    </row>
    <row r="177" spans="1:10" ht="15.75" customHeight="1">
      <c r="A177" s="4">
        <v>45768</v>
      </c>
      <c r="B177" s="4" t="s">
        <v>24</v>
      </c>
      <c r="C177" s="2">
        <v>747</v>
      </c>
      <c r="D177" s="2">
        <v>261</v>
      </c>
      <c r="E177" s="2">
        <v>338650</v>
      </c>
      <c r="F177" s="2">
        <v>7.73</v>
      </c>
      <c r="G177" s="2">
        <v>25259</v>
      </c>
      <c r="H177" s="2">
        <f t="shared" si="18"/>
        <v>486</v>
      </c>
      <c r="I177" s="21">
        <f t="shared" si="19"/>
        <v>0.14351099955706481</v>
      </c>
      <c r="J177" s="33">
        <f t="shared" si="21"/>
        <v>859.5</v>
      </c>
    </row>
    <row r="178" spans="1:10" ht="15.75" customHeight="1">
      <c r="A178" s="4">
        <v>45677</v>
      </c>
      <c r="B178" s="4" t="s">
        <v>14</v>
      </c>
      <c r="C178" s="2">
        <v>601</v>
      </c>
      <c r="D178" s="2">
        <v>159</v>
      </c>
      <c r="E178" s="2">
        <v>327722</v>
      </c>
      <c r="F178" s="2">
        <v>3.33</v>
      </c>
      <c r="G178" s="2">
        <v>25267</v>
      </c>
      <c r="H178" s="2">
        <f t="shared" si="18"/>
        <v>442</v>
      </c>
      <c r="I178" s="21">
        <f t="shared" si="19"/>
        <v>0.13487040845594742</v>
      </c>
      <c r="J178" s="33">
        <f t="shared" si="21"/>
        <v>845.25</v>
      </c>
    </row>
    <row r="179" spans="1:10" ht="15.75" customHeight="1">
      <c r="A179" s="4">
        <v>45614</v>
      </c>
      <c r="B179" s="4" t="s">
        <v>24</v>
      </c>
      <c r="C179" s="2">
        <v>791</v>
      </c>
      <c r="D179" s="2">
        <v>214</v>
      </c>
      <c r="E179" s="2">
        <v>114738</v>
      </c>
      <c r="F179" s="2">
        <v>6.62</v>
      </c>
      <c r="G179" s="2">
        <v>25347</v>
      </c>
      <c r="H179" s="2">
        <f t="shared" si="18"/>
        <v>577</v>
      </c>
      <c r="I179" s="21">
        <f t="shared" si="19"/>
        <v>0.5028848332723248</v>
      </c>
      <c r="J179" s="33">
        <f t="shared" si="21"/>
        <v>696</v>
      </c>
    </row>
    <row r="180" spans="1:10" ht="15.75" customHeight="1">
      <c r="A180" s="4">
        <v>45691</v>
      </c>
      <c r="B180" s="4" t="s">
        <v>364</v>
      </c>
      <c r="C180" s="2">
        <v>534</v>
      </c>
      <c r="D180" s="2">
        <v>112</v>
      </c>
      <c r="E180" s="2">
        <v>360759</v>
      </c>
      <c r="F180" s="2">
        <v>4.8899999999999997</v>
      </c>
      <c r="G180" s="2">
        <v>25478</v>
      </c>
      <c r="H180" s="2">
        <f t="shared" si="18"/>
        <v>422</v>
      </c>
      <c r="I180" s="21">
        <f t="shared" si="19"/>
        <v>0.11697559866836309</v>
      </c>
      <c r="J180" s="33">
        <f t="shared" si="21"/>
        <v>481.75</v>
      </c>
    </row>
    <row r="181" spans="1:10" ht="15.75" customHeight="1">
      <c r="A181" s="4">
        <v>45593</v>
      </c>
      <c r="B181" s="4" t="s">
        <v>24</v>
      </c>
      <c r="C181" s="2">
        <v>746</v>
      </c>
      <c r="D181" s="2">
        <v>282</v>
      </c>
      <c r="E181" s="2">
        <v>293894</v>
      </c>
      <c r="F181" s="2">
        <v>5.42</v>
      </c>
      <c r="G181" s="2">
        <v>25537</v>
      </c>
      <c r="H181" s="2">
        <f t="shared" si="18"/>
        <v>464</v>
      </c>
      <c r="I181" s="21">
        <f t="shared" si="19"/>
        <v>0.15788005199153438</v>
      </c>
      <c r="J181" s="33">
        <f t="shared" si="21"/>
        <v>476.25</v>
      </c>
    </row>
    <row r="182" spans="1:10" ht="15.75" customHeight="1">
      <c r="A182" s="4">
        <v>45726</v>
      </c>
      <c r="B182" s="4" t="s">
        <v>364</v>
      </c>
      <c r="C182" s="2">
        <v>950</v>
      </c>
      <c r="D182" s="2">
        <v>185</v>
      </c>
      <c r="E182" s="2">
        <v>340750</v>
      </c>
      <c r="F182" s="2">
        <v>6.77</v>
      </c>
      <c r="G182" s="2">
        <v>25542</v>
      </c>
      <c r="H182" s="2">
        <f t="shared" si="18"/>
        <v>765</v>
      </c>
      <c r="I182" s="21">
        <f t="shared" si="19"/>
        <v>0.22450476889214968</v>
      </c>
      <c r="J182" s="33">
        <f t="shared" si="21"/>
        <v>557</v>
      </c>
    </row>
    <row r="183" spans="1:10" ht="15.75" customHeight="1">
      <c r="A183" s="4">
        <v>45635</v>
      </c>
      <c r="B183" s="4" t="s">
        <v>14</v>
      </c>
      <c r="C183" s="2">
        <v>875</v>
      </c>
      <c r="D183" s="2">
        <v>264</v>
      </c>
      <c r="E183" s="2">
        <v>345631</v>
      </c>
      <c r="F183" s="2">
        <v>9.18</v>
      </c>
      <c r="G183" s="2">
        <v>25703</v>
      </c>
      <c r="H183" s="2">
        <f t="shared" si="18"/>
        <v>611</v>
      </c>
      <c r="I183" s="21">
        <f t="shared" si="19"/>
        <v>0.17677812464738407</v>
      </c>
      <c r="J183" s="33">
        <f t="shared" si="21"/>
        <v>565.5</v>
      </c>
    </row>
    <row r="184" spans="1:10" ht="15.75" customHeight="1">
      <c r="A184" s="4">
        <v>45488</v>
      </c>
      <c r="B184" s="4" t="s">
        <v>24</v>
      </c>
      <c r="C184" s="2">
        <v>1308</v>
      </c>
      <c r="D184" s="2">
        <v>210</v>
      </c>
      <c r="E184" s="2">
        <v>263729</v>
      </c>
      <c r="F184" s="2">
        <v>8.5299999999999994</v>
      </c>
      <c r="G184" s="2">
        <v>25742</v>
      </c>
      <c r="H184" s="2">
        <f t="shared" si="18"/>
        <v>1098</v>
      </c>
      <c r="I184" s="21">
        <f t="shared" si="19"/>
        <v>0.41633646660018431</v>
      </c>
      <c r="J184" s="33">
        <f t="shared" si="21"/>
        <v>734.5</v>
      </c>
    </row>
    <row r="185" spans="1:10" ht="15.75" customHeight="1">
      <c r="A185" s="4">
        <v>45831</v>
      </c>
      <c r="B185" s="4" t="s">
        <v>14</v>
      </c>
      <c r="C185" s="2">
        <v>564</v>
      </c>
      <c r="D185" s="2">
        <v>244</v>
      </c>
      <c r="E185" s="2">
        <v>279405</v>
      </c>
      <c r="F185" s="2">
        <v>8.43</v>
      </c>
      <c r="G185" s="2">
        <v>26024</v>
      </c>
      <c r="H185" s="2">
        <f t="shared" si="18"/>
        <v>320</v>
      </c>
      <c r="I185" s="21">
        <f t="shared" si="19"/>
        <v>0.11452908859898712</v>
      </c>
      <c r="J185" s="33">
        <f t="shared" si="21"/>
        <v>698.5</v>
      </c>
    </row>
    <row r="186" spans="1:10" ht="15.75" customHeight="1">
      <c r="A186" s="4">
        <v>45789</v>
      </c>
      <c r="B186" s="4" t="s">
        <v>14</v>
      </c>
      <c r="C186" s="2">
        <v>837</v>
      </c>
      <c r="D186" s="2">
        <v>261</v>
      </c>
      <c r="E186" s="2">
        <v>366149</v>
      </c>
      <c r="F186" s="2">
        <v>6.54</v>
      </c>
      <c r="G186" s="2">
        <v>26073</v>
      </c>
      <c r="H186" s="2">
        <f t="shared" si="18"/>
        <v>576</v>
      </c>
      <c r="I186" s="21">
        <f t="shared" si="19"/>
        <v>0.15731300645365684</v>
      </c>
      <c r="J186" s="33">
        <f t="shared" si="21"/>
        <v>651.25</v>
      </c>
    </row>
    <row r="187" spans="1:10" ht="15.75" customHeight="1">
      <c r="A187" s="4">
        <v>45600</v>
      </c>
      <c r="B187" s="4" t="s">
        <v>24</v>
      </c>
      <c r="C187" s="2">
        <v>1463</v>
      </c>
      <c r="D187" s="2">
        <v>73</v>
      </c>
      <c r="E187" s="2">
        <v>348877</v>
      </c>
      <c r="F187" s="2">
        <v>9.91</v>
      </c>
      <c r="G187" s="2">
        <v>26273</v>
      </c>
      <c r="H187" s="2">
        <f t="shared" si="18"/>
        <v>1390</v>
      </c>
      <c r="I187" s="21">
        <f t="shared" si="19"/>
        <v>0.39842122008616215</v>
      </c>
      <c r="J187" s="33">
        <f>AVERAGE(H185:H187)</f>
        <v>762</v>
      </c>
    </row>
    <row r="188" spans="1:10" ht="15.75" customHeight="1">
      <c r="A188" s="4">
        <v>45453</v>
      </c>
      <c r="B188" s="4" t="s">
        <v>24</v>
      </c>
      <c r="C188" s="2">
        <v>1461</v>
      </c>
      <c r="D188" s="2">
        <v>64</v>
      </c>
      <c r="E188" s="2">
        <v>328902</v>
      </c>
      <c r="F188" s="2">
        <v>9.02</v>
      </c>
      <c r="G188" s="2">
        <v>26298</v>
      </c>
      <c r="H188" s="2">
        <f t="shared" si="18"/>
        <v>1397</v>
      </c>
      <c r="I188" s="21">
        <f t="shared" si="19"/>
        <v>0.42474658104845819</v>
      </c>
      <c r="J188" s="33"/>
    </row>
    <row r="189" spans="1:10" ht="15.75" customHeight="1">
      <c r="A189" s="4">
        <v>45775</v>
      </c>
      <c r="B189" s="4" t="s">
        <v>364</v>
      </c>
      <c r="C189" s="2">
        <v>864</v>
      </c>
      <c r="D189" s="2">
        <v>50</v>
      </c>
      <c r="E189" s="2">
        <v>277445</v>
      </c>
      <c r="F189" s="2">
        <v>3.57</v>
      </c>
      <c r="G189" s="2">
        <v>26333</v>
      </c>
      <c r="H189" s="2">
        <f t="shared" si="18"/>
        <v>814</v>
      </c>
      <c r="I189" s="21">
        <f t="shared" si="19"/>
        <v>0.29339148299662998</v>
      </c>
      <c r="J189" s="33">
        <f t="shared" ref="J189:J201" si="22">AVERAGE(H186:H189)</f>
        <v>1044.25</v>
      </c>
    </row>
    <row r="190" spans="1:10" ht="15.75" customHeight="1">
      <c r="A190" s="4">
        <v>45740</v>
      </c>
      <c r="B190" s="4" t="s">
        <v>24</v>
      </c>
      <c r="C190" s="2">
        <v>975</v>
      </c>
      <c r="D190" s="2">
        <v>162</v>
      </c>
      <c r="E190" s="2">
        <v>124497</v>
      </c>
      <c r="F190" s="2">
        <v>9.58</v>
      </c>
      <c r="G190" s="2">
        <v>26618</v>
      </c>
      <c r="H190" s="2">
        <f t="shared" si="18"/>
        <v>813</v>
      </c>
      <c r="I190" s="21">
        <f t="shared" si="19"/>
        <v>0.65302778380201931</v>
      </c>
      <c r="J190" s="33">
        <f t="shared" si="22"/>
        <v>1103.5</v>
      </c>
    </row>
    <row r="191" spans="1:10" ht="15.75" customHeight="1">
      <c r="A191" s="4">
        <v>45530</v>
      </c>
      <c r="B191" s="4" t="s">
        <v>14</v>
      </c>
      <c r="C191" s="2">
        <v>1154</v>
      </c>
      <c r="D191" s="2">
        <v>132</v>
      </c>
      <c r="E191" s="2">
        <v>194595</v>
      </c>
      <c r="F191" s="2">
        <v>7.54</v>
      </c>
      <c r="G191" s="2">
        <v>26624</v>
      </c>
      <c r="H191" s="2">
        <f t="shared" si="18"/>
        <v>1022</v>
      </c>
      <c r="I191" s="21">
        <f t="shared" si="19"/>
        <v>0.52519335029163128</v>
      </c>
      <c r="J191" s="33">
        <f t="shared" si="22"/>
        <v>1011.5</v>
      </c>
    </row>
    <row r="192" spans="1:10" ht="15.75" customHeight="1">
      <c r="A192" s="4">
        <v>45530</v>
      </c>
      <c r="B192" s="4" t="s">
        <v>24</v>
      </c>
      <c r="C192" s="2">
        <v>537</v>
      </c>
      <c r="D192" s="2">
        <v>275</v>
      </c>
      <c r="E192" s="2">
        <v>236238</v>
      </c>
      <c r="F192" s="2">
        <v>5.87</v>
      </c>
      <c r="G192" s="2">
        <v>26644</v>
      </c>
      <c r="H192" s="2">
        <f t="shared" si="18"/>
        <v>262</v>
      </c>
      <c r="I192" s="21">
        <f t="shared" si="19"/>
        <v>0.11090510417460359</v>
      </c>
      <c r="J192" s="33">
        <f t="shared" si="22"/>
        <v>727.75</v>
      </c>
    </row>
    <row r="193" spans="1:10" ht="15.75" customHeight="1">
      <c r="A193" s="4">
        <v>45831</v>
      </c>
      <c r="B193" s="4" t="s">
        <v>24</v>
      </c>
      <c r="C193" s="2">
        <v>668</v>
      </c>
      <c r="D193" s="2">
        <v>124</v>
      </c>
      <c r="E193" s="2">
        <v>257485</v>
      </c>
      <c r="F193" s="2">
        <v>7.55</v>
      </c>
      <c r="G193" s="2">
        <v>26730</v>
      </c>
      <c r="H193" s="2">
        <f t="shared" si="18"/>
        <v>544</v>
      </c>
      <c r="I193" s="21">
        <f t="shared" si="19"/>
        <v>0.21127444317144686</v>
      </c>
      <c r="J193" s="33">
        <f t="shared" si="22"/>
        <v>660.25</v>
      </c>
    </row>
    <row r="194" spans="1:10" ht="15.75" customHeight="1">
      <c r="A194" s="4">
        <v>45558</v>
      </c>
      <c r="B194" s="4" t="s">
        <v>14</v>
      </c>
      <c r="C194" s="2">
        <v>1290</v>
      </c>
      <c r="D194" s="2">
        <v>177</v>
      </c>
      <c r="E194" s="2">
        <v>80745</v>
      </c>
      <c r="F194" s="2">
        <v>9.2200000000000006</v>
      </c>
      <c r="G194" s="2">
        <v>26872</v>
      </c>
      <c r="H194" s="2">
        <f t="shared" ref="H194:H201" si="23">(C194-D194)</f>
        <v>1113</v>
      </c>
      <c r="I194" s="21">
        <f t="shared" ref="I194:I201" si="24">((C194-D194)/E194)*100</f>
        <v>1.3784135240572171</v>
      </c>
      <c r="J194" s="33">
        <f t="shared" si="22"/>
        <v>735.25</v>
      </c>
    </row>
    <row r="195" spans="1:10" ht="15.75" customHeight="1">
      <c r="A195" s="4">
        <v>45866</v>
      </c>
      <c r="B195" s="4" t="s">
        <v>24</v>
      </c>
      <c r="C195" s="2">
        <v>1425</v>
      </c>
      <c r="D195" s="2">
        <v>143</v>
      </c>
      <c r="E195" s="2">
        <v>116742</v>
      </c>
      <c r="F195" s="2">
        <v>3.71</v>
      </c>
      <c r="G195" s="2">
        <v>27126</v>
      </c>
      <c r="H195" s="2">
        <f t="shared" si="23"/>
        <v>1282</v>
      </c>
      <c r="I195" s="21">
        <f t="shared" si="24"/>
        <v>1.0981480529715097</v>
      </c>
      <c r="J195" s="33">
        <f t="shared" si="22"/>
        <v>800.25</v>
      </c>
    </row>
    <row r="196" spans="1:10" ht="15.75" customHeight="1">
      <c r="A196" s="4">
        <v>45761</v>
      </c>
      <c r="B196" s="4" t="s">
        <v>364</v>
      </c>
      <c r="C196" s="2">
        <v>1472</v>
      </c>
      <c r="D196" s="2">
        <v>281</v>
      </c>
      <c r="E196" s="2">
        <v>258115</v>
      </c>
      <c r="F196" s="2">
        <v>7.23</v>
      </c>
      <c r="G196" s="2">
        <v>27393</v>
      </c>
      <c r="H196" s="2">
        <f t="shared" si="23"/>
        <v>1191</v>
      </c>
      <c r="I196" s="21">
        <f t="shared" si="24"/>
        <v>0.46142223427541984</v>
      </c>
      <c r="J196" s="33">
        <f t="shared" si="22"/>
        <v>1032.5</v>
      </c>
    </row>
    <row r="197" spans="1:10" ht="15.75" customHeight="1">
      <c r="A197" s="4">
        <v>45838</v>
      </c>
      <c r="B197" s="4" t="s">
        <v>14</v>
      </c>
      <c r="C197" s="2">
        <v>593</v>
      </c>
      <c r="D197" s="2">
        <v>108</v>
      </c>
      <c r="E197" s="2">
        <v>216500</v>
      </c>
      <c r="F197" s="2">
        <v>4.71</v>
      </c>
      <c r="G197" s="2">
        <v>27575</v>
      </c>
      <c r="H197" s="2">
        <f t="shared" si="23"/>
        <v>485</v>
      </c>
      <c r="I197" s="21">
        <f t="shared" si="24"/>
        <v>0.22401847575057734</v>
      </c>
      <c r="J197" s="33">
        <f t="shared" si="22"/>
        <v>1017.75</v>
      </c>
    </row>
    <row r="198" spans="1:10" ht="15.75" customHeight="1">
      <c r="A198" s="4">
        <v>45761</v>
      </c>
      <c r="B198" s="4" t="s">
        <v>14</v>
      </c>
      <c r="C198" s="2">
        <v>772</v>
      </c>
      <c r="D198" s="2">
        <v>82</v>
      </c>
      <c r="E198" s="2">
        <v>345659</v>
      </c>
      <c r="F198" s="2">
        <v>3.52</v>
      </c>
      <c r="G198" s="2">
        <v>27753</v>
      </c>
      <c r="H198" s="2">
        <f t="shared" si="23"/>
        <v>690</v>
      </c>
      <c r="I198" s="21">
        <f t="shared" si="24"/>
        <v>0.19961869935398757</v>
      </c>
      <c r="J198" s="33">
        <f t="shared" si="22"/>
        <v>912</v>
      </c>
    </row>
    <row r="199" spans="1:10" ht="15.75" customHeight="1">
      <c r="A199" s="4">
        <v>45796</v>
      </c>
      <c r="B199" s="4" t="s">
        <v>24</v>
      </c>
      <c r="C199" s="2">
        <v>1430</v>
      </c>
      <c r="D199" s="2">
        <v>74</v>
      </c>
      <c r="E199" s="2">
        <v>327012</v>
      </c>
      <c r="F199" s="2">
        <v>6.66</v>
      </c>
      <c r="G199" s="2">
        <v>27782</v>
      </c>
      <c r="H199" s="2">
        <f t="shared" si="23"/>
        <v>1356</v>
      </c>
      <c r="I199" s="21">
        <f t="shared" si="24"/>
        <v>0.41466368206671317</v>
      </c>
      <c r="J199" s="33">
        <f t="shared" si="22"/>
        <v>930.5</v>
      </c>
    </row>
    <row r="200" spans="1:10" ht="15.75" customHeight="1">
      <c r="A200" s="4">
        <v>45859</v>
      </c>
      <c r="B200" s="4" t="s">
        <v>364</v>
      </c>
      <c r="C200" s="2">
        <v>1246</v>
      </c>
      <c r="D200" s="2">
        <v>107</v>
      </c>
      <c r="E200" s="2">
        <v>350949</v>
      </c>
      <c r="F200" s="2">
        <v>4.9800000000000004</v>
      </c>
      <c r="G200" s="2">
        <v>27809</v>
      </c>
      <c r="H200" s="2">
        <f t="shared" si="23"/>
        <v>1139</v>
      </c>
      <c r="I200" s="21">
        <f t="shared" si="24"/>
        <v>0.32454858113287116</v>
      </c>
      <c r="J200" s="33">
        <f t="shared" si="22"/>
        <v>917.5</v>
      </c>
    </row>
    <row r="201" spans="1:10" ht="15.75" customHeight="1">
      <c r="A201" s="4">
        <v>45523</v>
      </c>
      <c r="B201" s="4" t="s">
        <v>24</v>
      </c>
      <c r="C201" s="2">
        <v>571</v>
      </c>
      <c r="D201" s="2">
        <v>189</v>
      </c>
      <c r="E201" s="2">
        <v>61445</v>
      </c>
      <c r="F201" s="2">
        <v>5.41</v>
      </c>
      <c r="G201" s="2">
        <v>27829</v>
      </c>
      <c r="H201" s="2">
        <f t="shared" si="23"/>
        <v>382</v>
      </c>
      <c r="I201" s="21">
        <f t="shared" si="24"/>
        <v>0.62169419806330861</v>
      </c>
      <c r="J201" s="33">
        <f t="shared" si="22"/>
        <v>891.75</v>
      </c>
    </row>
    <row r="202" spans="1:10" ht="15.75" customHeight="1">
      <c r="A202" s="4"/>
      <c r="B202" s="4"/>
      <c r="C202" s="2"/>
      <c r="D202" s="2"/>
      <c r="E202" s="2"/>
      <c r="F202" s="2"/>
      <c r="G202" s="2"/>
      <c r="H202" s="2">
        <f>SUBTOTAL(109,Table3[Net_Follower_Gain])</f>
        <v>161588</v>
      </c>
      <c r="I202" s="21">
        <f>SUBTOTAL(101,Table3[Follower Growth Rate])</f>
        <v>0.43352849153835232</v>
      </c>
      <c r="J202" s="2"/>
    </row>
    <row r="203" spans="1:10" ht="15.75" customHeight="1"/>
    <row r="204" spans="1:10" ht="15.75" customHeight="1"/>
    <row r="205" spans="1:10" ht="15.75" customHeight="1"/>
    <row r="206" spans="1:10" ht="15.75" customHeight="1"/>
    <row r="207" spans="1:10" ht="15.75" customHeight="1"/>
    <row r="208" spans="1:10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:F1048576">
    <cfRule type="top10" dxfId="0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A676-5915-4E57-94A1-A806BABF97BA}">
  <dimension ref="A1:K50"/>
  <sheetViews>
    <sheetView workbookViewId="0">
      <selection activeCell="G34" sqref="G34"/>
    </sheetView>
  </sheetViews>
  <sheetFormatPr defaultRowHeight="14.4"/>
  <cols>
    <col min="1" max="1" width="29.6640625" bestFit="1" customWidth="1"/>
    <col min="2" max="2" width="15.5546875" bestFit="1" customWidth="1"/>
    <col min="3" max="3" width="9" bestFit="1" customWidth="1"/>
    <col min="4" max="5" width="12" bestFit="1" customWidth="1"/>
    <col min="7" max="7" width="25.88671875" bestFit="1" customWidth="1"/>
    <col min="8" max="8" width="15.5546875" bestFit="1" customWidth="1"/>
    <col min="9" max="9" width="6.88671875" bestFit="1" customWidth="1"/>
    <col min="10" max="10" width="8.109375" bestFit="1" customWidth="1"/>
    <col min="11" max="11" width="10.77734375" bestFit="1" customWidth="1"/>
    <col min="12" max="12" width="23.109375" bestFit="1" customWidth="1"/>
    <col min="13" max="13" width="21" bestFit="1" customWidth="1"/>
    <col min="14" max="14" width="27.88671875" bestFit="1" customWidth="1"/>
  </cols>
  <sheetData>
    <row r="1" spans="1:11">
      <c r="A1" s="31" t="s">
        <v>426</v>
      </c>
    </row>
    <row r="2" spans="1:11">
      <c r="A2" s="37" t="s">
        <v>434</v>
      </c>
    </row>
    <row r="3" spans="1:11">
      <c r="G3" s="8" t="s">
        <v>381</v>
      </c>
      <c r="H3" s="8" t="s">
        <v>380</v>
      </c>
    </row>
    <row r="4" spans="1:11">
      <c r="G4" s="8" t="s">
        <v>371</v>
      </c>
      <c r="H4" t="s">
        <v>14</v>
      </c>
      <c r="I4" t="s">
        <v>24</v>
      </c>
      <c r="J4" t="s">
        <v>364</v>
      </c>
      <c r="K4" t="s">
        <v>372</v>
      </c>
    </row>
    <row r="5" spans="1:11">
      <c r="G5" s="9" t="s">
        <v>378</v>
      </c>
      <c r="H5" s="11">
        <v>15.133756587448209</v>
      </c>
      <c r="I5" s="11">
        <v>14.650920292033842</v>
      </c>
      <c r="J5" s="11">
        <v>12.591404633737865</v>
      </c>
      <c r="K5" s="11">
        <v>42.376081513219916</v>
      </c>
    </row>
    <row r="6" spans="1:11">
      <c r="G6" s="10" t="s">
        <v>382</v>
      </c>
      <c r="H6" s="11">
        <v>3.3917459295241379</v>
      </c>
      <c r="I6" s="11">
        <v>2.2167209849478358</v>
      </c>
      <c r="J6" s="11">
        <v>1.5084471432115336</v>
      </c>
      <c r="K6" s="11">
        <v>7.1169140576835073</v>
      </c>
    </row>
    <row r="7" spans="1:11">
      <c r="G7" s="10" t="s">
        <v>383</v>
      </c>
      <c r="H7" s="11">
        <v>6.5010996220437667</v>
      </c>
      <c r="I7" s="11">
        <v>7.2180310222725712</v>
      </c>
      <c r="J7" s="11">
        <v>4.7456720821756502</v>
      </c>
      <c r="K7" s="11">
        <v>18.464802726491989</v>
      </c>
    </row>
    <row r="8" spans="1:11">
      <c r="G8" s="10" t="s">
        <v>384</v>
      </c>
      <c r="H8" s="11">
        <v>5.2409110358803037</v>
      </c>
      <c r="I8" s="11">
        <v>5.2161682848134339</v>
      </c>
      <c r="J8" s="11">
        <v>6.3372854083506809</v>
      </c>
      <c r="K8" s="11">
        <v>16.794364729044418</v>
      </c>
    </row>
    <row r="9" spans="1:11">
      <c r="G9" s="9" t="s">
        <v>379</v>
      </c>
      <c r="H9" s="11">
        <v>14.015333333613384</v>
      </c>
      <c r="I9" s="11">
        <v>16.838587095354931</v>
      </c>
      <c r="J9" s="11">
        <v>13.475696365482253</v>
      </c>
      <c r="K9" s="11">
        <v>44.329616794450573</v>
      </c>
    </row>
    <row r="10" spans="1:11">
      <c r="G10" s="10" t="s">
        <v>435</v>
      </c>
      <c r="H10" s="11">
        <v>3.8357679058279568</v>
      </c>
      <c r="I10" s="11">
        <v>7.451470595568126</v>
      </c>
      <c r="J10" s="11">
        <v>3.6333698593714976</v>
      </c>
      <c r="K10" s="11">
        <v>14.920608360767581</v>
      </c>
    </row>
    <row r="11" spans="1:11">
      <c r="G11" s="10" t="s">
        <v>382</v>
      </c>
      <c r="H11" s="11">
        <v>4.5081048755252411</v>
      </c>
      <c r="I11" s="11">
        <v>5.6425944715132328</v>
      </c>
      <c r="J11" s="11">
        <v>5.1830371181260615</v>
      </c>
      <c r="K11" s="11">
        <v>15.333736465164534</v>
      </c>
    </row>
    <row r="12" spans="1:11">
      <c r="G12" s="10" t="s">
        <v>383</v>
      </c>
      <c r="H12" s="11">
        <v>5.6714605522601858</v>
      </c>
      <c r="I12" s="11">
        <v>3.7445220282735736</v>
      </c>
      <c r="J12" s="11">
        <v>4.6592893879846953</v>
      </c>
      <c r="K12" s="11">
        <v>14.075271968518454</v>
      </c>
    </row>
    <row r="13" spans="1:11">
      <c r="G13" s="9" t="s">
        <v>372</v>
      </c>
      <c r="H13" s="11">
        <v>29.149089921061591</v>
      </c>
      <c r="I13" s="11">
        <v>31.48950738738877</v>
      </c>
      <c r="J13" s="11">
        <v>26.06710099922012</v>
      </c>
      <c r="K13" s="11">
        <v>86.705698307670474</v>
      </c>
    </row>
    <row r="23" spans="1:1">
      <c r="A23" s="31" t="s">
        <v>426</v>
      </c>
    </row>
    <row r="24" spans="1:1">
      <c r="A24" s="37" t="s">
        <v>436</v>
      </c>
    </row>
    <row r="44" spans="1:5">
      <c r="A44" s="31" t="s">
        <v>411</v>
      </c>
    </row>
    <row r="45" spans="1:5">
      <c r="A45" s="37" t="s">
        <v>437</v>
      </c>
    </row>
    <row r="46" spans="1:5">
      <c r="A46" s="8" t="s">
        <v>416</v>
      </c>
      <c r="B46" s="8" t="s">
        <v>380</v>
      </c>
    </row>
    <row r="47" spans="1:5">
      <c r="A47" s="8" t="s">
        <v>371</v>
      </c>
      <c r="B47" t="s">
        <v>14</v>
      </c>
      <c r="C47" t="s">
        <v>24</v>
      </c>
      <c r="D47" t="s">
        <v>364</v>
      </c>
      <c r="E47" t="s">
        <v>372</v>
      </c>
    </row>
    <row r="48" spans="1:5">
      <c r="A48" s="9" t="s">
        <v>378</v>
      </c>
      <c r="B48">
        <v>23136</v>
      </c>
      <c r="C48">
        <v>23340.25</v>
      </c>
      <c r="D48">
        <v>24423.25</v>
      </c>
      <c r="E48">
        <v>70899.5</v>
      </c>
    </row>
    <row r="49" spans="1:5">
      <c r="A49" s="9" t="s">
        <v>379</v>
      </c>
      <c r="B49">
        <v>27263.25</v>
      </c>
      <c r="C49">
        <v>27539.75</v>
      </c>
      <c r="D49">
        <v>26929.166666666668</v>
      </c>
      <c r="E49">
        <v>81732.166666666672</v>
      </c>
    </row>
    <row r="50" spans="1:5">
      <c r="A50" s="9" t="s">
        <v>372</v>
      </c>
      <c r="B50">
        <v>50399.25</v>
      </c>
      <c r="C50">
        <v>50880</v>
      </c>
      <c r="D50">
        <v>51352.416666666672</v>
      </c>
      <c r="E50">
        <v>152631.66666666669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3"/>
  <sheetViews>
    <sheetView workbookViewId="0">
      <selection activeCell="A38" sqref="A38"/>
    </sheetView>
  </sheetViews>
  <sheetFormatPr defaultColWidth="14.44140625" defaultRowHeight="15" customHeight="1"/>
  <cols>
    <col min="1" max="1" width="18.77734375" customWidth="1"/>
    <col min="2" max="2" width="11.5546875" bestFit="1" customWidth="1"/>
    <col min="3" max="3" width="15.77734375" bestFit="1" customWidth="1"/>
    <col min="4" max="4" width="17.6640625" bestFit="1" customWidth="1"/>
    <col min="5" max="5" width="25.21875" customWidth="1"/>
    <col min="6" max="6" width="33.44140625" customWidth="1"/>
    <col min="7" max="7" width="34.109375" customWidth="1"/>
    <col min="8" max="8" width="7" bestFit="1" customWidth="1"/>
    <col min="9" max="9" width="6.5546875" bestFit="1" customWidth="1"/>
    <col min="10" max="10" width="10.109375" bestFit="1" customWidth="1"/>
    <col min="11" max="11" width="16.33203125" bestFit="1" customWidth="1"/>
    <col min="12" max="12" width="8" customWidth="1"/>
    <col min="13" max="13" width="16.77734375" bestFit="1" customWidth="1"/>
    <col min="14" max="29" width="8.6640625" customWidth="1"/>
  </cols>
  <sheetData>
    <row r="1" spans="1:16" ht="14.4">
      <c r="A1" s="26" t="s">
        <v>12</v>
      </c>
      <c r="B1" s="23" t="s">
        <v>346</v>
      </c>
      <c r="C1" s="23" t="s">
        <v>347</v>
      </c>
      <c r="D1" s="26" t="s">
        <v>348</v>
      </c>
      <c r="E1" s="26" t="s">
        <v>349</v>
      </c>
      <c r="F1" s="26" t="s">
        <v>350</v>
      </c>
      <c r="G1" s="26" t="s">
        <v>351</v>
      </c>
      <c r="H1" s="27" t="s">
        <v>5</v>
      </c>
      <c r="I1" s="27" t="s">
        <v>6</v>
      </c>
      <c r="J1" s="27" t="s">
        <v>7</v>
      </c>
      <c r="K1" s="27" t="s">
        <v>404</v>
      </c>
      <c r="L1" s="27" t="s">
        <v>470</v>
      </c>
      <c r="M1" s="27" t="s">
        <v>408</v>
      </c>
    </row>
    <row r="2" spans="1:16" ht="14.4">
      <c r="A2" s="28" t="s">
        <v>58</v>
      </c>
      <c r="B2" s="24">
        <v>45458</v>
      </c>
      <c r="C2" s="25">
        <v>45488</v>
      </c>
      <c r="D2" s="28" t="s">
        <v>352</v>
      </c>
      <c r="E2" s="28">
        <v>175000</v>
      </c>
      <c r="F2" s="28" t="s">
        <v>353</v>
      </c>
      <c r="G2" s="28" t="s">
        <v>354</v>
      </c>
      <c r="H2" s="28">
        <v>179742</v>
      </c>
      <c r="I2" s="28">
        <v>18172</v>
      </c>
      <c r="J2" s="28">
        <v>13652</v>
      </c>
      <c r="K2" s="15">
        <f>SUM(Table4[[#This Row],[Likes]],Table4[[#This Row],[Shares]],Table4[[#This Row],[Comments]])</f>
        <v>211566</v>
      </c>
      <c r="L2" s="29">
        <f>(K2/E2)</f>
        <v>1.2089485714285715</v>
      </c>
      <c r="M2" s="20">
        <v>8090</v>
      </c>
      <c r="P2" s="31" t="s">
        <v>468</v>
      </c>
    </row>
    <row r="3" spans="1:16" ht="14.4">
      <c r="A3" s="28" t="s">
        <v>54</v>
      </c>
      <c r="B3" s="24">
        <v>45627</v>
      </c>
      <c r="C3" s="25">
        <v>45657</v>
      </c>
      <c r="D3" s="28" t="s">
        <v>355</v>
      </c>
      <c r="E3" s="28">
        <v>225000</v>
      </c>
      <c r="F3" s="28" t="s">
        <v>356</v>
      </c>
      <c r="G3" s="28" t="s">
        <v>357</v>
      </c>
      <c r="H3" s="28">
        <v>61815</v>
      </c>
      <c r="I3" s="28">
        <v>7993</v>
      </c>
      <c r="J3" s="28">
        <v>5656</v>
      </c>
      <c r="K3" s="15">
        <f>SUM(Table4[[#This Row],[Likes]],Table4[[#This Row],[Shares]],Table4[[#This Row],[Comments]])</f>
        <v>75464</v>
      </c>
      <c r="L3" s="29">
        <f>(K3/E3)</f>
        <v>0.33539555555555556</v>
      </c>
      <c r="M3" s="20">
        <v>7845</v>
      </c>
      <c r="P3" s="31" t="s">
        <v>469</v>
      </c>
    </row>
    <row r="4" spans="1:16" ht="14.4">
      <c r="A4" s="28" t="s">
        <v>18</v>
      </c>
      <c r="B4" s="24">
        <v>45667</v>
      </c>
      <c r="C4" s="25">
        <v>45698</v>
      </c>
      <c r="D4" s="28" t="s">
        <v>358</v>
      </c>
      <c r="E4" s="28">
        <v>200000</v>
      </c>
      <c r="F4" s="28" t="s">
        <v>359</v>
      </c>
      <c r="G4" s="28" t="s">
        <v>360</v>
      </c>
      <c r="H4" s="28">
        <v>836035</v>
      </c>
      <c r="I4" s="28">
        <v>85599</v>
      </c>
      <c r="J4" s="28">
        <v>58574</v>
      </c>
      <c r="K4" s="15">
        <f>SUM(Table4[[#This Row],[Likes]],Table4[[#This Row],[Shares]],Table4[[#This Row],[Comments]])</f>
        <v>980208</v>
      </c>
      <c r="L4" s="29">
        <f>(K4/E4)</f>
        <v>4.9010400000000001</v>
      </c>
      <c r="M4" s="20">
        <v>7300</v>
      </c>
    </row>
    <row r="5" spans="1:16" ht="14.4">
      <c r="A5" s="28" t="s">
        <v>22</v>
      </c>
      <c r="B5" s="24">
        <v>45717</v>
      </c>
      <c r="C5" s="25">
        <v>45747</v>
      </c>
      <c r="D5" s="28" t="s">
        <v>361</v>
      </c>
      <c r="E5" s="28">
        <v>160000</v>
      </c>
      <c r="F5" s="28" t="s">
        <v>362</v>
      </c>
      <c r="G5" s="28" t="s">
        <v>363</v>
      </c>
      <c r="H5" s="28">
        <v>379991</v>
      </c>
      <c r="I5" s="28">
        <v>37824</v>
      </c>
      <c r="J5" s="28">
        <v>29504</v>
      </c>
      <c r="K5" s="15">
        <f>SUM(Table4[[#This Row],[Likes]],Table4[[#This Row],[Shares]],Table4[[#This Row],[Comments]])</f>
        <v>447319</v>
      </c>
      <c r="L5" s="29">
        <f>(K5/E5)</f>
        <v>2.7957437500000002</v>
      </c>
      <c r="M5" s="20">
        <v>3389</v>
      </c>
    </row>
    <row r="7" spans="1:16" ht="15" customHeight="1">
      <c r="A7" s="37" t="s">
        <v>452</v>
      </c>
    </row>
    <row r="8" spans="1:16" ht="15" customHeight="1">
      <c r="A8" s="37" t="s">
        <v>453</v>
      </c>
    </row>
    <row r="9" spans="1:16" ht="15" customHeight="1">
      <c r="A9" s="8" t="s">
        <v>371</v>
      </c>
      <c r="B9" t="s">
        <v>368</v>
      </c>
      <c r="C9" t="s">
        <v>393</v>
      </c>
      <c r="D9" t="s">
        <v>389</v>
      </c>
      <c r="E9" t="s">
        <v>391</v>
      </c>
      <c r="F9" t="s">
        <v>390</v>
      </c>
      <c r="G9" t="s">
        <v>392</v>
      </c>
    </row>
    <row r="10" spans="1:16" ht="15" customHeight="1">
      <c r="A10" s="9" t="s">
        <v>18</v>
      </c>
      <c r="B10">
        <v>836035</v>
      </c>
      <c r="C10">
        <v>3051.2226277372265</v>
      </c>
      <c r="D10">
        <v>11334503</v>
      </c>
      <c r="E10">
        <v>41366.799270072996</v>
      </c>
      <c r="F10">
        <v>51159</v>
      </c>
      <c r="G10">
        <v>186.71167883211677</v>
      </c>
    </row>
    <row r="11" spans="1:16" ht="15" customHeight="1">
      <c r="A11" s="9" t="s">
        <v>22</v>
      </c>
      <c r="B11">
        <v>379991</v>
      </c>
      <c r="C11">
        <v>2968.6796875</v>
      </c>
      <c r="D11">
        <v>5583446</v>
      </c>
      <c r="E11">
        <v>43620.671875</v>
      </c>
      <c r="F11">
        <v>25805</v>
      </c>
      <c r="G11">
        <v>201.6015625</v>
      </c>
    </row>
    <row r="12" spans="1:16" ht="15" customHeight="1">
      <c r="A12" s="9" t="s">
        <v>58</v>
      </c>
      <c r="B12">
        <v>179742</v>
      </c>
      <c r="C12">
        <v>3099</v>
      </c>
      <c r="D12">
        <v>2467706</v>
      </c>
      <c r="E12">
        <v>42546.65517241379</v>
      </c>
      <c r="F12">
        <v>11114</v>
      </c>
      <c r="G12">
        <v>191.62068965517241</v>
      </c>
    </row>
    <row r="13" spans="1:16" ht="15" customHeight="1">
      <c r="A13" s="9" t="s">
        <v>54</v>
      </c>
      <c r="B13">
        <v>61815</v>
      </c>
      <c r="C13">
        <v>2687.608695652174</v>
      </c>
      <c r="D13">
        <v>865406</v>
      </c>
      <c r="E13">
        <v>37626.34782608696</v>
      </c>
      <c r="F13">
        <v>4614</v>
      </c>
      <c r="G13">
        <v>200.60869565217391</v>
      </c>
    </row>
    <row r="14" spans="1:16" ht="15" customHeight="1">
      <c r="A14" s="9" t="s">
        <v>372</v>
      </c>
      <c r="B14">
        <v>1457583</v>
      </c>
      <c r="C14">
        <v>3017.7701863354037</v>
      </c>
      <c r="D14">
        <v>20251061</v>
      </c>
      <c r="E14">
        <v>41927.662525879918</v>
      </c>
      <c r="F14">
        <v>92692</v>
      </c>
      <c r="G14">
        <v>191.9089026915114</v>
      </c>
    </row>
    <row r="16" spans="1:16" ht="15" customHeight="1">
      <c r="A16" s="31" t="s">
        <v>455</v>
      </c>
    </row>
    <row r="17" spans="1:10" ht="15" customHeight="1">
      <c r="A17" s="43" t="s">
        <v>454</v>
      </c>
    </row>
    <row r="18" spans="1:10" ht="30" customHeight="1">
      <c r="A18" s="52" t="s">
        <v>12</v>
      </c>
      <c r="B18" s="53" t="s">
        <v>346</v>
      </c>
      <c r="C18" s="53" t="s">
        <v>347</v>
      </c>
      <c r="D18" s="54" t="s">
        <v>350</v>
      </c>
      <c r="E18" s="54" t="s">
        <v>394</v>
      </c>
      <c r="F18" s="55" t="s">
        <v>405</v>
      </c>
      <c r="G18" s="56" t="s">
        <v>406</v>
      </c>
      <c r="H18" s="58"/>
      <c r="I18" s="58"/>
      <c r="J18" s="58"/>
    </row>
    <row r="19" spans="1:10" ht="15" customHeight="1">
      <c r="A19" s="44" t="s">
        <v>395</v>
      </c>
      <c r="B19" s="16">
        <v>45458</v>
      </c>
      <c r="C19" s="17">
        <v>45488</v>
      </c>
      <c r="D19" s="59" t="s">
        <v>353</v>
      </c>
      <c r="E19" s="19">
        <v>0.08</v>
      </c>
      <c r="F19" s="35">
        <f>(E19-E20)/E20</f>
        <v>-0.11111111111111106</v>
      </c>
      <c r="G19" s="45">
        <v>-0.11</v>
      </c>
      <c r="H19" s="57"/>
      <c r="I19" s="57"/>
      <c r="J19" s="57"/>
    </row>
    <row r="20" spans="1:10" ht="15" customHeight="1">
      <c r="A20" s="44" t="s">
        <v>396</v>
      </c>
      <c r="B20" s="16">
        <v>45428</v>
      </c>
      <c r="C20" s="17">
        <v>45457</v>
      </c>
      <c r="D20" s="59" t="s">
        <v>353</v>
      </c>
      <c r="E20" s="19">
        <v>0.09</v>
      </c>
      <c r="F20" s="36"/>
      <c r="G20" s="46"/>
      <c r="H20" s="57"/>
      <c r="I20" s="57"/>
      <c r="J20" s="57"/>
    </row>
    <row r="21" spans="1:10" ht="15" customHeight="1">
      <c r="A21" s="44" t="s">
        <v>397</v>
      </c>
      <c r="B21" s="16">
        <v>45627</v>
      </c>
      <c r="C21" s="17">
        <v>45657</v>
      </c>
      <c r="D21" s="59" t="s">
        <v>356</v>
      </c>
      <c r="E21" s="19">
        <v>0</v>
      </c>
      <c r="F21" s="35">
        <v>0</v>
      </c>
      <c r="G21" s="45">
        <v>0</v>
      </c>
      <c r="H21" s="57"/>
      <c r="I21" s="57"/>
      <c r="J21" s="57"/>
    </row>
    <row r="22" spans="1:10" ht="15" customHeight="1">
      <c r="A22" s="44" t="s">
        <v>398</v>
      </c>
      <c r="B22" s="16">
        <v>45596</v>
      </c>
      <c r="C22" s="18">
        <v>45626</v>
      </c>
      <c r="D22" s="59" t="s">
        <v>356</v>
      </c>
      <c r="E22" s="19">
        <v>0</v>
      </c>
      <c r="F22" s="36"/>
      <c r="G22" s="46"/>
      <c r="H22" s="57"/>
      <c r="I22" s="57"/>
      <c r="J22" s="57"/>
    </row>
    <row r="23" spans="1:10" ht="15" customHeight="1">
      <c r="A23" s="44" t="s">
        <v>399</v>
      </c>
      <c r="B23" s="16">
        <v>45667</v>
      </c>
      <c r="C23" s="17">
        <v>45698</v>
      </c>
      <c r="D23" s="59" t="s">
        <v>359</v>
      </c>
      <c r="E23" s="19">
        <v>0.12</v>
      </c>
      <c r="F23" s="35">
        <f t="shared" ref="F23" si="0">(E23-E24)/E24</f>
        <v>9.090909090909087E-2</v>
      </c>
      <c r="G23" s="45">
        <v>0.09</v>
      </c>
      <c r="H23" s="57"/>
      <c r="I23" s="57"/>
      <c r="J23" s="57"/>
    </row>
    <row r="24" spans="1:10" ht="15" customHeight="1">
      <c r="A24" s="44" t="s">
        <v>400</v>
      </c>
      <c r="B24" s="16">
        <v>45635</v>
      </c>
      <c r="C24" s="17">
        <v>45666</v>
      </c>
      <c r="D24" s="59" t="s">
        <v>359</v>
      </c>
      <c r="E24" s="19">
        <v>0.11</v>
      </c>
      <c r="F24" s="36"/>
      <c r="G24" s="46"/>
      <c r="H24" s="57"/>
      <c r="I24" s="57"/>
      <c r="J24" s="57"/>
    </row>
    <row r="25" spans="1:10" ht="15" customHeight="1">
      <c r="A25" s="44" t="s">
        <v>401</v>
      </c>
      <c r="B25" s="16">
        <v>45717</v>
      </c>
      <c r="C25" s="17">
        <v>45747</v>
      </c>
      <c r="D25" s="59" t="s">
        <v>362</v>
      </c>
      <c r="E25" s="19">
        <v>0.1</v>
      </c>
      <c r="F25" s="35">
        <f t="shared" ref="F25" si="1">(E25-E26)/E26</f>
        <v>0.11111111111111122</v>
      </c>
      <c r="G25" s="45">
        <v>0.11</v>
      </c>
      <c r="H25" s="57"/>
      <c r="I25" s="57"/>
      <c r="J25" s="57"/>
    </row>
    <row r="26" spans="1:10" ht="15" customHeight="1">
      <c r="A26" s="47" t="s">
        <v>402</v>
      </c>
      <c r="B26" s="48">
        <v>45686</v>
      </c>
      <c r="C26" s="48">
        <v>45716</v>
      </c>
      <c r="D26" s="59" t="s">
        <v>362</v>
      </c>
      <c r="E26" s="49">
        <v>0.09</v>
      </c>
      <c r="F26" s="50"/>
      <c r="G26" s="51"/>
      <c r="H26" s="57"/>
      <c r="I26" s="57"/>
      <c r="J26" s="57"/>
    </row>
    <row r="29" spans="1:10" ht="15" customHeight="1">
      <c r="A29" s="43" t="s">
        <v>465</v>
      </c>
    </row>
    <row r="30" spans="1:10" ht="15" customHeight="1">
      <c r="A30" s="43" t="s">
        <v>466</v>
      </c>
    </row>
    <row r="31" spans="1:10" ht="15" customHeight="1">
      <c r="A31" s="15" t="s">
        <v>403</v>
      </c>
    </row>
    <row r="32" spans="1:10" ht="15" customHeight="1">
      <c r="A32" s="43" t="s">
        <v>467</v>
      </c>
    </row>
    <row r="33" spans="1:1" ht="15.75" customHeight="1"/>
    <row r="34" spans="1:1" ht="15.75" customHeight="1"/>
    <row r="35" spans="1:1" ht="15.75" customHeight="1">
      <c r="A35" s="22" t="s">
        <v>409</v>
      </c>
    </row>
    <row r="36" spans="1:1" ht="15.75" customHeight="1">
      <c r="A36" s="22" t="s">
        <v>410</v>
      </c>
    </row>
    <row r="37" spans="1:1" ht="15.75" customHeight="1">
      <c r="A37" s="62" t="s">
        <v>456</v>
      </c>
    </row>
    <row r="38" spans="1:1" ht="15.75" customHeight="1">
      <c r="A38" s="63" t="s">
        <v>457</v>
      </c>
    </row>
    <row r="39" spans="1:1" ht="15.75" customHeight="1"/>
    <row r="40" spans="1:1" ht="15.75" customHeight="1">
      <c r="A40" s="31" t="s">
        <v>411</v>
      </c>
    </row>
    <row r="41" spans="1:1" ht="15.75" customHeight="1">
      <c r="A41" s="37" t="s">
        <v>458</v>
      </c>
    </row>
    <row r="42" spans="1:1" ht="15.75" customHeight="1">
      <c r="A42" s="20" t="s">
        <v>412</v>
      </c>
    </row>
    <row r="43" spans="1:1" ht="15.75" customHeight="1">
      <c r="A43" s="32" t="s">
        <v>413</v>
      </c>
    </row>
    <row r="44" spans="1:1" ht="15.75" customHeight="1">
      <c r="A44" s="32" t="s">
        <v>414</v>
      </c>
    </row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honeticPr fontId="16" type="noConversion"/>
  <pageMargins left="0.7" right="0.7" top="0.75" bottom="0.75" header="0" footer="0"/>
  <pageSetup orientation="landscape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A034-C576-47E3-A1A8-45D0830E876A}">
  <dimension ref="A3:J31"/>
  <sheetViews>
    <sheetView topLeftCell="A2" zoomScale="90" zoomScaleNormal="90" workbookViewId="0">
      <selection activeCell="J10" sqref="J10"/>
    </sheetView>
  </sheetViews>
  <sheetFormatPr defaultRowHeight="14.4"/>
  <cols>
    <col min="1" max="1" width="25.77734375" bestFit="1" customWidth="1"/>
    <col min="2" max="2" width="15.5546875" bestFit="1" customWidth="1"/>
    <col min="3" max="3" width="9.109375" customWidth="1"/>
    <col min="4" max="4" width="8.21875" customWidth="1"/>
    <col min="5" max="5" width="10.77734375" bestFit="1" customWidth="1"/>
    <col min="6" max="6" width="22.5546875" bestFit="1" customWidth="1"/>
    <col min="9" max="9" width="12.5546875" bestFit="1" customWidth="1"/>
    <col min="10" max="10" width="25.88671875" bestFit="1" customWidth="1"/>
    <col min="11" max="11" width="23.6640625" bestFit="1" customWidth="1"/>
  </cols>
  <sheetData>
    <row r="3" spans="1:10">
      <c r="A3" s="8" t="s">
        <v>371</v>
      </c>
      <c r="B3" t="s">
        <v>368</v>
      </c>
      <c r="C3" t="s">
        <v>369</v>
      </c>
      <c r="D3" t="s">
        <v>370</v>
      </c>
      <c r="E3" t="s">
        <v>389</v>
      </c>
      <c r="F3" t="s">
        <v>438</v>
      </c>
      <c r="I3" s="8" t="s">
        <v>371</v>
      </c>
      <c r="J3" t="s">
        <v>381</v>
      </c>
    </row>
    <row r="4" spans="1:10">
      <c r="A4" s="9" t="s">
        <v>364</v>
      </c>
      <c r="B4">
        <v>390814</v>
      </c>
      <c r="C4">
        <v>37236</v>
      </c>
      <c r="D4">
        <v>29342</v>
      </c>
      <c r="E4">
        <v>5555988</v>
      </c>
      <c r="F4" s="60">
        <v>11.101622937001887</v>
      </c>
      <c r="I4" s="9" t="s">
        <v>14</v>
      </c>
      <c r="J4" s="11">
        <v>29.149089921061591</v>
      </c>
    </row>
    <row r="5" spans="1:10">
      <c r="A5" s="9" t="s">
        <v>24</v>
      </c>
      <c r="B5">
        <v>722398</v>
      </c>
      <c r="C5">
        <v>71992</v>
      </c>
      <c r="D5">
        <v>50019</v>
      </c>
      <c r="E5">
        <v>9811719</v>
      </c>
      <c r="F5" s="60">
        <v>22.595589518765951</v>
      </c>
      <c r="I5" s="9" t="s">
        <v>24</v>
      </c>
      <c r="J5" s="11">
        <v>31.48950738738877</v>
      </c>
    </row>
    <row r="6" spans="1:10">
      <c r="A6" s="9" t="s">
        <v>14</v>
      </c>
      <c r="B6">
        <v>344371</v>
      </c>
      <c r="C6">
        <v>40360</v>
      </c>
      <c r="D6">
        <v>28025</v>
      </c>
      <c r="E6">
        <v>4883354</v>
      </c>
      <c r="F6" s="60">
        <v>10.986258570684958</v>
      </c>
      <c r="I6" s="9" t="s">
        <v>364</v>
      </c>
      <c r="J6" s="11">
        <v>26.067100999220116</v>
      </c>
    </row>
    <row r="7" spans="1:10">
      <c r="A7" s="9" t="s">
        <v>372</v>
      </c>
      <c r="B7">
        <v>1457583</v>
      </c>
      <c r="C7">
        <v>149588</v>
      </c>
      <c r="D7">
        <v>107386</v>
      </c>
      <c r="E7">
        <v>20251061</v>
      </c>
      <c r="F7" s="60">
        <v>44.6834710264528</v>
      </c>
      <c r="I7" s="9" t="s">
        <v>372</v>
      </c>
      <c r="J7" s="11">
        <v>86.705698307670474</v>
      </c>
    </row>
    <row r="9" spans="1:10">
      <c r="A9" s="42" t="s">
        <v>447</v>
      </c>
    </row>
    <row r="10" spans="1:10">
      <c r="A10" s="42"/>
    </row>
    <row r="11" spans="1:10">
      <c r="A11" s="41" t="s">
        <v>439</v>
      </c>
    </row>
    <row r="12" spans="1:10">
      <c r="A12" s="31" t="s">
        <v>441</v>
      </c>
    </row>
    <row r="13" spans="1:10">
      <c r="A13" s="31" t="s">
        <v>440</v>
      </c>
    </row>
    <row r="14" spans="1:10">
      <c r="A14" s="37" t="s">
        <v>442</v>
      </c>
    </row>
    <row r="16" spans="1:10">
      <c r="A16" s="31" t="s">
        <v>443</v>
      </c>
    </row>
    <row r="17" spans="1:5">
      <c r="A17" s="37" t="s">
        <v>444</v>
      </c>
    </row>
    <row r="18" spans="1:5">
      <c r="A18" s="31" t="s">
        <v>445</v>
      </c>
    </row>
    <row r="19" spans="1:5">
      <c r="A19" s="31" t="s">
        <v>446</v>
      </c>
    </row>
    <row r="20" spans="1:5">
      <c r="A20" s="31"/>
    </row>
    <row r="21" spans="1:5">
      <c r="A21" s="8" t="s">
        <v>374</v>
      </c>
      <c r="B21" s="8" t="s">
        <v>380</v>
      </c>
    </row>
    <row r="22" spans="1:5">
      <c r="A22" s="8" t="s">
        <v>371</v>
      </c>
      <c r="B22" t="s">
        <v>56</v>
      </c>
      <c r="C22" t="s">
        <v>25</v>
      </c>
      <c r="D22" t="s">
        <v>15</v>
      </c>
      <c r="E22" t="s">
        <v>372</v>
      </c>
    </row>
    <row r="23" spans="1:5">
      <c r="A23" s="9" t="s">
        <v>14</v>
      </c>
      <c r="B23" s="11"/>
      <c r="C23" s="11">
        <v>9.5509123528654066E-2</v>
      </c>
      <c r="D23" s="11">
        <v>8.8783320500261664E-2</v>
      </c>
      <c r="E23" s="11">
        <v>9.0051299759712725E-2</v>
      </c>
    </row>
    <row r="24" spans="1:5">
      <c r="A24" s="9" t="s">
        <v>24</v>
      </c>
      <c r="B24" s="11"/>
      <c r="C24" s="11">
        <v>9.6350204330797523E-2</v>
      </c>
      <c r="D24" s="11">
        <v>9.5584491232904453E-2</v>
      </c>
      <c r="E24" s="11">
        <v>9.6151444760706112E-2</v>
      </c>
    </row>
    <row r="25" spans="1:5">
      <c r="A25" s="9" t="s">
        <v>364</v>
      </c>
      <c r="B25" s="11">
        <v>9.010688153503349E-2</v>
      </c>
      <c r="C25" s="11"/>
      <c r="D25" s="11">
        <v>8.6403291293675771E-2</v>
      </c>
      <c r="E25" s="11">
        <v>8.8108118547634007E-2</v>
      </c>
    </row>
    <row r="26" spans="1:5">
      <c r="A26" s="9" t="s">
        <v>372</v>
      </c>
      <c r="B26" s="11">
        <v>9.010688153503349E-2</v>
      </c>
      <c r="C26" s="11">
        <v>9.6252007079785873E-2</v>
      </c>
      <c r="D26" s="11">
        <v>8.9893098696065904E-2</v>
      </c>
      <c r="E26" s="11">
        <v>9.2512362373608228E-2</v>
      </c>
    </row>
    <row r="28" spans="1:5">
      <c r="A28" s="61" t="s">
        <v>451</v>
      </c>
    </row>
    <row r="29" spans="1:5">
      <c r="A29" s="31" t="s">
        <v>386</v>
      </c>
    </row>
    <row r="30" spans="1:5">
      <c r="A30" s="31" t="s">
        <v>387</v>
      </c>
    </row>
    <row r="31" spans="1:5">
      <c r="A31" s="31" t="s">
        <v>388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BA295E-AF8E-46AC-8849-26ECC56372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Cleaned_Posts</vt:lpstr>
      <vt:lpstr>Posts_PivotTable</vt:lpstr>
      <vt:lpstr>Engagement Summary</vt:lpstr>
      <vt:lpstr>Eng_sum_pivotchart</vt:lpstr>
      <vt:lpstr>Campaign Metadata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Manik Parashar</cp:lastModifiedBy>
  <dcterms:modified xsi:type="dcterms:W3CDTF">2025-10-06T13:05:36Z</dcterms:modified>
</cp:coreProperties>
</file>